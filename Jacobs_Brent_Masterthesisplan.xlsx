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d.docs.live.net/8564a8c591b3536d/Documenten/Uni/Thesis/"/>
    </mc:Choice>
  </mc:AlternateContent>
  <xr:revisionPtr revIDLastSave="316" documentId="8_{E3DC4D32-73A5-476F-9434-1C62C3491628}" xr6:coauthVersionLast="47" xr6:coauthVersionMax="47" xr10:uidLastSave="{979D79E7-250E-47D1-B5C1-D537764A9982}"/>
  <bookViews>
    <workbookView xWindow="780" yWindow="780" windowWidth="21600" windowHeight="11835" xr2:uid="{00000000-000D-0000-FFFF-FFFF00000000}"/>
  </bookViews>
  <sheets>
    <sheet name="Project schedule" sheetId="11" r:id="rId1"/>
    <sheet name="About" sheetId="12" r:id="rId2"/>
  </sheets>
  <definedNames>
    <definedName name="Display_Week">'Project schedule'!$P$2</definedName>
    <definedName name="_xlnm.Print_Titles" localSheetId="0">'Project schedule'!$4:$6</definedName>
    <definedName name="Project_Start">'Project schedule'!$P$1</definedName>
    <definedName name="task_end" localSheetId="0">'Project schedule'!$E1</definedName>
    <definedName name="task_progress" localSheetId="0">'Project schedule'!$C1</definedName>
    <definedName name="task_start" localSheetId="0">'Project schedule'!$D1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1" i="11" l="1"/>
  <c r="G14" i="11"/>
  <c r="G7" i="11"/>
  <c r="D9" i="11" l="1"/>
  <c r="H5" i="11" l="1"/>
  <c r="G37" i="11"/>
  <c r="G32" i="11"/>
  <c r="G26" i="11"/>
  <c r="G21" i="11"/>
  <c r="G8" i="11"/>
  <c r="G27" i="11" l="1"/>
  <c r="G28" i="11"/>
  <c r="G9" i="11"/>
  <c r="H6" i="11"/>
  <c r="G36" i="11" l="1"/>
  <c r="G33" i="11"/>
  <c r="G31" i="11"/>
  <c r="G29" i="11"/>
  <c r="G22" i="11"/>
  <c r="I5" i="11"/>
  <c r="J5" i="11" s="1"/>
  <c r="K5" i="11" s="1"/>
  <c r="L5" i="11" s="1"/>
  <c r="M5" i="11" s="1"/>
  <c r="N5" i="11" s="1"/>
  <c r="O5" i="11" s="1"/>
  <c r="H4" i="11"/>
  <c r="G34" i="11" l="1"/>
  <c r="G35" i="11"/>
  <c r="G30" i="11"/>
  <c r="G23" i="11"/>
  <c r="G18" i="11"/>
  <c r="O4" i="11"/>
  <c r="P5" i="11"/>
  <c r="Q5" i="11" s="1"/>
  <c r="R5" i="11" s="1"/>
  <c r="S5" i="11" s="1"/>
  <c r="T5" i="11" s="1"/>
  <c r="U5" i="11" s="1"/>
  <c r="V5" i="11" s="1"/>
  <c r="I6" i="11"/>
  <c r="G25" i="11" l="1"/>
  <c r="V4" i="11"/>
  <c r="W5" i="11"/>
  <c r="X5" i="11" s="1"/>
  <c r="Y5" i="11" s="1"/>
  <c r="Z5" i="11" s="1"/>
  <c r="AA5" i="11" s="1"/>
  <c r="AB5" i="11" s="1"/>
  <c r="AC5" i="11" s="1"/>
  <c r="J6" i="11"/>
  <c r="AD5" i="11" l="1"/>
  <c r="AE5" i="11" s="1"/>
  <c r="AF5" i="11" s="1"/>
  <c r="AG5" i="11" s="1"/>
  <c r="AH5" i="11" s="1"/>
  <c r="AI5" i="11" s="1"/>
  <c r="AC4" i="11"/>
  <c r="K6" i="11"/>
  <c r="AJ5" i="11" l="1"/>
  <c r="AK5" i="11" s="1"/>
  <c r="AL5" i="11" s="1"/>
  <c r="AM5" i="11" s="1"/>
  <c r="AN5" i="11" s="1"/>
  <c r="AO5" i="11" s="1"/>
  <c r="AP5" i="11" s="1"/>
  <c r="L6" i="11"/>
  <c r="AQ5" i="11" l="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H6" i="11"/>
  <c r="AC6" i="11"/>
  <c r="BJ5" i="11" l="1"/>
  <c r="BI6" i="11"/>
  <c r="AD6" i="11"/>
  <c r="BK5" i="11" l="1"/>
  <c r="BJ6" i="11"/>
  <c r="AE6" i="11"/>
  <c r="BK6" i="11" l="1"/>
  <c r="AF6" i="11"/>
  <c r="AG6" i="11" l="1"/>
  <c r="AH6" i="11" l="1"/>
  <c r="AI6" i="11" l="1"/>
  <c r="AJ6" i="11" l="1"/>
  <c r="AK6" i="11" l="1"/>
  <c r="AL6" i="11" l="1"/>
  <c r="AM6" i="11" l="1"/>
  <c r="AN6" i="11" l="1"/>
  <c r="AO6" i="11" l="1"/>
  <c r="AP6" i="11" l="1"/>
  <c r="AQ6" i="11" l="1"/>
</calcChain>
</file>

<file path=xl/sharedStrings.xml><?xml version="1.0" encoding="utf-8"?>
<sst xmlns="http://schemas.openxmlformats.org/spreadsheetml/2006/main" count="53" uniqueCount="50">
  <si>
    <t>Project start:</t>
  </si>
  <si>
    <t>Display week:</t>
  </si>
  <si>
    <t>SIMPLE GANTT CHART by Vertex42.com</t>
  </si>
  <si>
    <t>TASK</t>
  </si>
  <si>
    <t>PROGRESS</t>
  </si>
  <si>
    <t>START</t>
  </si>
  <si>
    <t>END</t>
  </si>
  <si>
    <t xml:space="preserve">Do not delete this row. This row is hidden to preserve a formula that is used to highlight the current day within the project schedule. </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</si>
  <si>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</si>
  <si>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</si>
  <si>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</si>
  <si>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</si>
  <si>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</si>
  <si>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</si>
  <si>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</si>
  <si>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</si>
  <si>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</si>
  <si>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</si>
  <si>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</si>
  <si>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</si>
  <si>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</si>
  <si>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GSS Thesis</t>
  </si>
  <si>
    <t>FMEA</t>
  </si>
  <si>
    <t>BOM</t>
  </si>
  <si>
    <t>Hardware</t>
  </si>
  <si>
    <t>Software</t>
  </si>
  <si>
    <t>Make planning</t>
  </si>
  <si>
    <t>Simulation</t>
  </si>
  <si>
    <t>Prelimenairy model</t>
  </si>
  <si>
    <t>Jacobs Brent</t>
  </si>
  <si>
    <t>ATHENS</t>
  </si>
  <si>
    <t>PCB design</t>
  </si>
  <si>
    <t>PCB production</t>
  </si>
  <si>
    <t>Specification review (FEB)</t>
  </si>
  <si>
    <t>Non-technical</t>
  </si>
  <si>
    <t>CAICD</t>
  </si>
  <si>
    <t>CPAEP</t>
  </si>
  <si>
    <t>Final Text</t>
  </si>
  <si>
    <t>SoTA</t>
  </si>
  <si>
    <t>Assembly</t>
  </si>
  <si>
    <t>Testing</t>
  </si>
  <si>
    <t>Write code</t>
  </si>
  <si>
    <t>Spec 2 Spec</t>
  </si>
  <si>
    <t>First FEB budget</t>
  </si>
  <si>
    <t>Final FEB budget</t>
  </si>
  <si>
    <t>Build simulator</t>
  </si>
  <si>
    <t>Jan exams</t>
  </si>
  <si>
    <t>Presentation</t>
  </si>
  <si>
    <t>Literature review</t>
  </si>
  <si>
    <t>Select µprocessor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</si>
</sst>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_(* \(#,##0.00\);_(* &quot;-&quot;??_);_(@_)"/>
    <numFmt numFmtId="165" formatCode="m/d/yy;@"/>
    <numFmt numFmtId="166" formatCode="ddd\,\ m/d/yyyy"/>
    <numFmt numFmtId="167" formatCode="mmm\ d\,\ yyyy"/>
    <numFmt numFmtId="168" formatCode="d"/>
    <numFmt numFmtId="169" formatCode="d/m/yy;@"/>
  </numFmts>
  <fonts count="28"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sz val="11"/>
      <color theme="1"/>
      <name val="Arial"/>
      <family val="2"/>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sz val="11"/>
      <color rgb="FF9C0006"/>
      <name val="Arial"/>
      <family val="2"/>
      <scheme val="minor"/>
    </font>
    <font>
      <b/>
      <sz val="11"/>
      <color theme="0"/>
      <name val="Arial"/>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rgb="FFFFC7CE"/>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4">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xf numFmtId="0" fontId="26" fillId="13" borderId="0" applyNumberFormat="0" applyBorder="0" applyAlignment="0" applyProtection="0"/>
  </cellStyleXfs>
  <cellXfs count="115">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0" applyFont="1" applyAlignment="1">
      <alignment horizontal="center"/>
    </xf>
    <xf numFmtId="0" fontId="3" fillId="0" borderId="0" xfId="0" applyFont="1" applyAlignment="1">
      <alignment horizontal="center" vertical="center"/>
    </xf>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3" fillId="0" borderId="0" xfId="0" applyFont="1"/>
    <xf numFmtId="0" fontId="13" fillId="0" borderId="0" xfId="0" applyFont="1" applyAlignment="1">
      <alignment horizontal="center"/>
    </xf>
    <xf numFmtId="0" fontId="14" fillId="0" borderId="0" xfId="0" applyFont="1"/>
    <xf numFmtId="0" fontId="4" fillId="0" borderId="0" xfId="0" applyFont="1"/>
    <xf numFmtId="0" fontId="4" fillId="0" borderId="0" xfId="8">
      <alignment horizontal="right" indent="1"/>
    </xf>
    <xf numFmtId="0" fontId="4" fillId="0" borderId="0" xfId="0" applyFont="1" applyAlignment="1">
      <alignment horizontal="center"/>
    </xf>
    <xf numFmtId="0" fontId="4" fillId="0" borderId="0" xfId="0" applyFont="1" applyAlignment="1">
      <alignment horizontal="left" indent="1"/>
    </xf>
    <xf numFmtId="168" fontId="17" fillId="12" borderId="20" xfId="0" applyNumberFormat="1" applyFont="1" applyFill="1" applyBorder="1" applyAlignment="1">
      <alignment horizontal="center" vertical="center"/>
    </xf>
    <xf numFmtId="168" fontId="17" fillId="12" borderId="18" xfId="0" applyNumberFormat="1" applyFont="1" applyFill="1" applyBorder="1" applyAlignment="1">
      <alignment horizontal="center" vertical="center"/>
    </xf>
    <xf numFmtId="168" fontId="17" fillId="12" borderId="19" xfId="0" applyNumberFormat="1" applyFont="1" applyFill="1" applyBorder="1" applyAlignment="1">
      <alignment horizontal="center" vertical="center"/>
    </xf>
    <xf numFmtId="0" fontId="18" fillId="2" borderId="17" xfId="0" applyFont="1" applyFill="1" applyBorder="1" applyAlignment="1">
      <alignment horizontal="center" vertical="center" shrinkToFit="1"/>
    </xf>
    <xf numFmtId="0" fontId="18" fillId="2" borderId="14" xfId="0" applyFont="1" applyFill="1" applyBorder="1" applyAlignment="1">
      <alignment horizontal="center" vertical="center" shrinkToFit="1"/>
    </xf>
    <xf numFmtId="0" fontId="18" fillId="2" borderId="15" xfId="0" applyFont="1" applyFill="1" applyBorder="1" applyAlignment="1">
      <alignment horizontal="center" vertical="center" shrinkToFit="1"/>
    </xf>
    <xf numFmtId="0" fontId="15" fillId="0" borderId="0" xfId="0" applyFont="1"/>
    <xf numFmtId="0" fontId="4" fillId="0" borderId="3" xfId="0" applyFont="1" applyBorder="1" applyAlignment="1">
      <alignment vertical="center"/>
    </xf>
    <xf numFmtId="0" fontId="19" fillId="6" borderId="0" xfId="0" applyFont="1" applyFill="1" applyAlignment="1">
      <alignment horizontal="left" vertical="center" indent="1"/>
    </xf>
    <xf numFmtId="9" fontId="1" fillId="6" borderId="0" xfId="2" applyFont="1" applyFill="1" applyBorder="1" applyAlignment="1">
      <alignment horizontal="center" vertical="center"/>
    </xf>
    <xf numFmtId="165" fontId="15"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4" fillId="0" borderId="4" xfId="0" applyFont="1" applyBorder="1" applyAlignment="1">
      <alignment vertical="center"/>
    </xf>
    <xf numFmtId="0" fontId="15" fillId="3" borderId="7" xfId="12" applyFont="1" applyFill="1" applyBorder="1">
      <alignment horizontal="left" vertical="center" indent="2"/>
    </xf>
    <xf numFmtId="9" fontId="1" fillId="3" borderId="7" xfId="2" applyFont="1" applyFill="1" applyBorder="1" applyAlignment="1">
      <alignment horizontal="center" vertical="center"/>
    </xf>
    <xf numFmtId="0" fontId="4" fillId="0" borderId="4" xfId="0" applyFont="1" applyBorder="1" applyAlignment="1">
      <alignment horizontal="right" vertical="center"/>
    </xf>
    <xf numFmtId="0" fontId="19" fillId="7" borderId="0" xfId="0" applyFont="1" applyFill="1" applyAlignment="1">
      <alignment horizontal="left" vertical="center" indent="1"/>
    </xf>
    <xf numFmtId="9" fontId="1" fillId="7" borderId="0" xfId="2" applyFont="1" applyFill="1" applyBorder="1" applyAlignment="1">
      <alignment horizontal="center" vertical="center"/>
    </xf>
    <xf numFmtId="165" fontId="15"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15" fillId="4" borderId="5" xfId="12" applyFont="1" applyFill="1" applyBorder="1">
      <alignment horizontal="left" vertical="center" indent="2"/>
    </xf>
    <xf numFmtId="9" fontId="1" fillId="4" borderId="5" xfId="2" applyFont="1" applyFill="1" applyBorder="1" applyAlignment="1">
      <alignment horizontal="center" vertical="center"/>
    </xf>
    <xf numFmtId="0" fontId="19" fillId="8" borderId="0" xfId="0" applyFont="1" applyFill="1" applyAlignment="1">
      <alignment horizontal="left" vertical="center" indent="1"/>
    </xf>
    <xf numFmtId="9" fontId="1" fillId="8" borderId="0" xfId="2" applyFont="1" applyFill="1" applyBorder="1" applyAlignment="1">
      <alignment horizontal="center" vertical="center"/>
    </xf>
    <xf numFmtId="0" fontId="4" fillId="0" borderId="11" xfId="0" applyFont="1" applyBorder="1" applyAlignment="1">
      <alignment vertical="center"/>
    </xf>
    <xf numFmtId="0" fontId="15" fillId="5" borderId="8" xfId="12" applyFont="1" applyFill="1" applyBorder="1">
      <alignment horizontal="left" vertical="center" indent="2"/>
    </xf>
    <xf numFmtId="9" fontId="1" fillId="5" borderId="8" xfId="2" applyFont="1" applyFill="1" applyBorder="1" applyAlignment="1">
      <alignment horizontal="center" vertical="center"/>
    </xf>
    <xf numFmtId="0" fontId="19" fillId="9" borderId="0" xfId="0" applyFont="1" applyFill="1" applyAlignment="1">
      <alignment horizontal="left" vertical="center" indent="1"/>
    </xf>
    <xf numFmtId="9" fontId="1" fillId="9" borderId="0" xfId="2" applyFont="1" applyFill="1" applyBorder="1" applyAlignment="1">
      <alignment horizontal="center" vertical="center"/>
    </xf>
    <xf numFmtId="0" fontId="4" fillId="0" borderId="10" xfId="0" applyFont="1" applyBorder="1" applyAlignment="1">
      <alignment vertical="center"/>
    </xf>
    <xf numFmtId="0" fontId="15" fillId="10" borderId="9" xfId="12" applyFont="1" applyFill="1" applyBorder="1">
      <alignment horizontal="left" vertical="center" indent="2"/>
    </xf>
    <xf numFmtId="9" fontId="1" fillId="10" borderId="9" xfId="2" applyFont="1" applyFill="1" applyBorder="1" applyAlignment="1">
      <alignment horizontal="center" vertical="center"/>
    </xf>
    <xf numFmtId="0" fontId="15" fillId="0" borderId="0" xfId="12" applyFont="1" applyBorder="1">
      <alignment horizontal="left" vertical="center" indent="2"/>
    </xf>
    <xf numFmtId="9" fontId="1" fillId="0" borderId="0" xfId="2" applyFont="1" applyBorder="1" applyAlignment="1">
      <alignment horizontal="center" vertical="center"/>
    </xf>
    <xf numFmtId="165" fontId="15" fillId="0" borderId="0" xfId="10" applyFont="1" applyBorder="1">
      <alignment horizontal="center" vertical="center"/>
    </xf>
    <xf numFmtId="0" fontId="20" fillId="0" borderId="0" xfId="6" applyFont="1" applyAlignment="1">
      <alignment horizontal="left" vertical="center" indent="1"/>
    </xf>
    <xf numFmtId="0" fontId="23"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0" fillId="0" borderId="0" xfId="0" applyFont="1" applyAlignment="1">
      <alignment horizontal="left" vertical="center" indent="1"/>
    </xf>
    <xf numFmtId="0" fontId="24" fillId="0" borderId="0" xfId="0" applyFont="1" applyAlignment="1">
      <alignment horizontal="left" vertical="top" wrapText="1" indent="1"/>
    </xf>
    <xf numFmtId="0" fontId="0" fillId="0" borderId="0" xfId="0" applyAlignment="1">
      <alignment horizontal="left" vertical="top" wrapText="1" indent="1"/>
    </xf>
    <xf numFmtId="0" fontId="25" fillId="0" borderId="0" xfId="1" applyFont="1" applyAlignment="1" applyProtection="1">
      <alignment horizontal="left" vertical="top" indent="1"/>
    </xf>
    <xf numFmtId="0" fontId="1" fillId="0" borderId="0" xfId="0" applyFont="1" applyAlignment="1">
      <alignment horizontal="left" vertical="top" indent="1"/>
    </xf>
    <xf numFmtId="0" fontId="11" fillId="0" borderId="0" xfId="3" applyAlignment="1">
      <alignment wrapText="1"/>
    </xf>
    <xf numFmtId="169" fontId="15" fillId="4" borderId="5" xfId="10" applyNumberFormat="1" applyFont="1" applyFill="1" applyBorder="1">
      <alignment horizontal="center" vertical="center"/>
    </xf>
    <xf numFmtId="169" fontId="15" fillId="8" borderId="0" xfId="0" applyNumberFormat="1" applyFont="1" applyFill="1" applyAlignment="1">
      <alignment horizontal="center" vertical="center"/>
    </xf>
    <xf numFmtId="169" fontId="1" fillId="8" borderId="0" xfId="0" applyNumberFormat="1" applyFont="1" applyFill="1" applyAlignment="1">
      <alignment horizontal="center" vertical="center"/>
    </xf>
    <xf numFmtId="169" fontId="15" fillId="5" borderId="8" xfId="10" applyNumberFormat="1" applyFont="1" applyFill="1" applyBorder="1">
      <alignment horizontal="center" vertical="center"/>
    </xf>
    <xf numFmtId="169" fontId="15" fillId="9" borderId="0" xfId="0" applyNumberFormat="1" applyFont="1" applyFill="1" applyAlignment="1">
      <alignment horizontal="center" vertical="center"/>
    </xf>
    <xf numFmtId="169" fontId="1" fillId="9" borderId="0" xfId="0" applyNumberFormat="1" applyFont="1" applyFill="1" applyAlignment="1">
      <alignment horizontal="center" vertical="center"/>
    </xf>
    <xf numFmtId="169" fontId="15" fillId="10" borderId="9" xfId="10" applyNumberFormat="1" applyFont="1" applyFill="1" applyBorder="1">
      <alignment horizontal="center" vertical="center"/>
    </xf>
    <xf numFmtId="169" fontId="15" fillId="3" borderId="7" xfId="10" applyNumberFormat="1" applyFont="1" applyFill="1" applyBorder="1">
      <alignment horizontal="center" vertical="center"/>
    </xf>
    <xf numFmtId="0" fontId="26" fillId="13" borderId="0" xfId="13"/>
    <xf numFmtId="0" fontId="26" fillId="13" borderId="7" xfId="13" applyBorder="1" applyAlignment="1">
      <alignment horizontal="left" vertical="center" indent="2"/>
    </xf>
    <xf numFmtId="9" fontId="26" fillId="13" borderId="7" xfId="13" applyNumberFormat="1" applyBorder="1" applyAlignment="1">
      <alignment horizontal="center" vertical="center"/>
    </xf>
    <xf numFmtId="169" fontId="26" fillId="13" borderId="7" xfId="13" applyNumberFormat="1" applyBorder="1" applyAlignment="1">
      <alignment horizontal="center" vertical="center"/>
    </xf>
    <xf numFmtId="0" fontId="26" fillId="13" borderId="0" xfId="13" applyAlignment="1">
      <alignment horizontal="center" vertical="center"/>
    </xf>
    <xf numFmtId="0" fontId="26" fillId="13" borderId="1" xfId="13" applyBorder="1" applyAlignment="1">
      <alignment horizontal="center" vertical="center"/>
    </xf>
    <xf numFmtId="0" fontId="26" fillId="13" borderId="4" xfId="13" applyBorder="1" applyAlignment="1">
      <alignment vertical="center"/>
    </xf>
    <xf numFmtId="0" fontId="26" fillId="13" borderId="0" xfId="13" applyAlignment="1">
      <alignment vertical="center"/>
    </xf>
    <xf numFmtId="0" fontId="26" fillId="13" borderId="4" xfId="13" applyBorder="1" applyAlignment="1">
      <alignment horizontal="right" vertical="center"/>
    </xf>
    <xf numFmtId="0" fontId="26" fillId="13" borderId="0" xfId="13" applyBorder="1" applyAlignment="1">
      <alignment horizontal="left" vertical="center" indent="2"/>
    </xf>
    <xf numFmtId="9" fontId="26" fillId="13" borderId="0" xfId="13" applyNumberFormat="1" applyBorder="1" applyAlignment="1">
      <alignment horizontal="center" vertical="center"/>
    </xf>
    <xf numFmtId="169" fontId="26" fillId="13" borderId="0" xfId="13" applyNumberFormat="1" applyBorder="1" applyAlignment="1">
      <alignment horizontal="center" vertical="center"/>
    </xf>
    <xf numFmtId="0" fontId="26" fillId="13" borderId="0" xfId="13" applyBorder="1" applyAlignment="1">
      <alignment vertical="center"/>
    </xf>
    <xf numFmtId="0" fontId="26" fillId="13" borderId="0" xfId="13" applyBorder="1" applyAlignment="1">
      <alignment horizontal="right" vertical="center"/>
    </xf>
    <xf numFmtId="0" fontId="27" fillId="0" borderId="0" xfId="0" applyFont="1" applyAlignment="1">
      <alignment horizontal="left" indent="1"/>
    </xf>
    <xf numFmtId="0" fontId="2" fillId="0" borderId="0" xfId="1" applyAlignment="1" applyProtection="1">
      <alignment horizontal="left" vertical="top" indent="1"/>
    </xf>
    <xf numFmtId="0" fontId="26" fillId="13" borderId="0" xfId="13" applyAlignment="1">
      <alignment wrapText="1"/>
    </xf>
    <xf numFmtId="0" fontId="26" fillId="13" borderId="6" xfId="13" applyBorder="1" applyAlignment="1">
      <alignment horizontal="left" vertical="center" indent="2"/>
    </xf>
    <xf numFmtId="9" fontId="26" fillId="13" borderId="6" xfId="13" applyNumberFormat="1" applyBorder="1" applyAlignment="1">
      <alignment horizontal="center" vertical="center"/>
    </xf>
    <xf numFmtId="169" fontId="26" fillId="13" borderId="6" xfId="13" applyNumberFormat="1" applyBorder="1" applyAlignment="1">
      <alignment horizontal="center" vertical="center"/>
    </xf>
    <xf numFmtId="0" fontId="26" fillId="13" borderId="8" xfId="13" applyBorder="1" applyAlignment="1">
      <alignment horizontal="left" vertical="center" indent="2"/>
    </xf>
    <xf numFmtId="9" fontId="26" fillId="13" borderId="8" xfId="13" applyNumberFormat="1" applyBorder="1" applyAlignment="1">
      <alignment horizontal="center" vertical="center"/>
    </xf>
    <xf numFmtId="169" fontId="26" fillId="13" borderId="8" xfId="13" applyNumberFormat="1" applyBorder="1" applyAlignment="1">
      <alignment horizontal="center" vertical="center"/>
    </xf>
    <xf numFmtId="0" fontId="21" fillId="0" borderId="0" xfId="0" applyFont="1" applyAlignment="1">
      <alignment horizontal="left"/>
    </xf>
    <xf numFmtId="0" fontId="22" fillId="0" borderId="0" xfId="0" applyFont="1"/>
    <xf numFmtId="166" fontId="21" fillId="0" borderId="0" xfId="9" applyFont="1" applyBorder="1" applyAlignment="1">
      <alignment horizontal="left"/>
    </xf>
    <xf numFmtId="0" fontId="20" fillId="0" borderId="0" xfId="8" applyFont="1" applyAlignment="1">
      <alignment horizontal="left"/>
    </xf>
    <xf numFmtId="0" fontId="4" fillId="0" borderId="0" xfId="0" applyFont="1"/>
    <xf numFmtId="167" fontId="15" fillId="2" borderId="13" xfId="0" applyNumberFormat="1" applyFont="1" applyFill="1" applyBorder="1" applyAlignment="1">
      <alignment horizontal="center" vertical="center" wrapText="1"/>
    </xf>
    <xf numFmtId="167" fontId="15" fillId="2" borderId="19" xfId="0" applyNumberFormat="1" applyFont="1" applyFill="1" applyBorder="1" applyAlignment="1">
      <alignment horizontal="center" vertical="center" wrapText="1"/>
    </xf>
    <xf numFmtId="167" fontId="15" fillId="2" borderId="18" xfId="0" applyNumberFormat="1" applyFont="1" applyFill="1" applyBorder="1" applyAlignment="1">
      <alignment horizontal="center" vertical="center" wrapText="1"/>
    </xf>
    <xf numFmtId="0" fontId="11" fillId="0" borderId="0" xfId="3" applyAlignment="1">
      <alignment wrapText="1"/>
    </xf>
    <xf numFmtId="0" fontId="16"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6" fillId="11" borderId="16" xfId="0" applyFont="1" applyFill="1" applyBorder="1" applyAlignment="1">
      <alignment horizontal="center" vertical="center"/>
    </xf>
    <xf numFmtId="0" fontId="4" fillId="2" borderId="21" xfId="0" applyFont="1" applyFill="1" applyBorder="1"/>
  </cellXfs>
  <cellStyles count="14">
    <cellStyle name="Bad" xfId="13" builtinId="27"/>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vertex42.com/ExcelTemplates/simple-gantt-chart.html?utm_source=ms&amp;utm_medium=file&amp;utm_campaign=office&amp;utm_content=tex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39"/>
  <sheetViews>
    <sheetView showGridLines="0" tabSelected="1" showRuler="0" topLeftCell="B1" zoomScale="98" zoomScaleNormal="99" zoomScalePageLayoutView="70" workbookViewId="0">
      <selection activeCell="C24" sqref="C24"/>
    </sheetView>
  </sheetViews>
  <sheetFormatPr defaultColWidth="8.75" defaultRowHeight="30" customHeight="1" x14ac:dyDescent="0.2"/>
  <cols>
    <col min="1" max="1" width="2.75" style="11" customWidth="1"/>
    <col min="2" max="2" width="26.875" customWidth="1"/>
    <col min="3" max="3" width="10.75" customWidth="1"/>
    <col min="4" max="4" width="10.75" style="2" customWidth="1"/>
    <col min="5" max="5" width="10.75" customWidth="1"/>
    <col min="6" max="6" width="2.75" customWidth="1"/>
    <col min="7" max="7" width="6" hidden="1" customWidth="1"/>
    <col min="8" max="64" width="2.75" customWidth="1"/>
  </cols>
  <sheetData>
    <row r="1" spans="1:63" ht="90" customHeight="1" x14ac:dyDescent="1.1000000000000001">
      <c r="A1" s="70"/>
      <c r="B1" s="62" t="s">
        <v>21</v>
      </c>
      <c r="C1" s="14"/>
      <c r="D1" s="15"/>
      <c r="E1" s="16"/>
      <c r="G1" s="1"/>
      <c r="H1" s="105" t="s">
        <v>0</v>
      </c>
      <c r="I1" s="106"/>
      <c r="J1" s="106"/>
      <c r="K1" s="106"/>
      <c r="L1" s="106"/>
      <c r="M1" s="106"/>
      <c r="N1" s="106"/>
      <c r="O1" s="19"/>
      <c r="P1" s="104">
        <v>46286</v>
      </c>
      <c r="Q1" s="103"/>
      <c r="R1" s="103"/>
      <c r="S1" s="103"/>
      <c r="T1" s="103"/>
      <c r="U1" s="103"/>
      <c r="V1" s="103"/>
      <c r="W1" s="103"/>
      <c r="X1" s="103"/>
      <c r="Y1" s="103"/>
    </row>
    <row r="2" spans="1:63" ht="30" customHeight="1" x14ac:dyDescent="0.5">
      <c r="B2" s="61" t="s">
        <v>29</v>
      </c>
      <c r="C2" s="17"/>
      <c r="D2" s="18"/>
      <c r="E2" s="17"/>
      <c r="H2" s="105" t="s">
        <v>1</v>
      </c>
      <c r="I2" s="106"/>
      <c r="J2" s="106"/>
      <c r="K2" s="106"/>
      <c r="L2" s="106"/>
      <c r="M2" s="106"/>
      <c r="N2" s="106"/>
      <c r="O2" s="19"/>
      <c r="P2" s="102">
        <v>4</v>
      </c>
      <c r="Q2" s="103"/>
      <c r="R2" s="103"/>
      <c r="S2" s="103"/>
      <c r="T2" s="103"/>
      <c r="U2" s="103"/>
      <c r="V2" s="103"/>
      <c r="W2" s="103"/>
      <c r="X2" s="103"/>
      <c r="Y2" s="103"/>
    </row>
    <row r="3" spans="1:63" s="20" customFormat="1" ht="30" customHeight="1" x14ac:dyDescent="0.25">
      <c r="A3" s="11"/>
      <c r="B3" s="93" t="s">
        <v>2</v>
      </c>
      <c r="C3" s="21"/>
      <c r="D3" s="22"/>
    </row>
    <row r="4" spans="1:63" s="20" customFormat="1" ht="30" customHeight="1" x14ac:dyDescent="0.2">
      <c r="A4" s="70"/>
      <c r="B4" s="94"/>
      <c r="D4" s="23"/>
      <c r="H4" s="109">
        <f>H5</f>
        <v>46307</v>
      </c>
      <c r="I4" s="107"/>
      <c r="J4" s="107"/>
      <c r="K4" s="107"/>
      <c r="L4" s="107"/>
      <c r="M4" s="107"/>
      <c r="N4" s="107"/>
      <c r="O4" s="107">
        <f>O5</f>
        <v>46314</v>
      </c>
      <c r="P4" s="107"/>
      <c r="Q4" s="107"/>
      <c r="R4" s="107"/>
      <c r="S4" s="107"/>
      <c r="T4" s="107"/>
      <c r="U4" s="107"/>
      <c r="V4" s="107">
        <f>V5</f>
        <v>46321</v>
      </c>
      <c r="W4" s="107"/>
      <c r="X4" s="107"/>
      <c r="Y4" s="107"/>
      <c r="Z4" s="107"/>
      <c r="AA4" s="107"/>
      <c r="AB4" s="107"/>
      <c r="AC4" s="107">
        <f>AC5</f>
        <v>46328</v>
      </c>
      <c r="AD4" s="107"/>
      <c r="AE4" s="107"/>
      <c r="AF4" s="107"/>
      <c r="AG4" s="107"/>
      <c r="AH4" s="107"/>
      <c r="AI4" s="107"/>
      <c r="AJ4" s="107">
        <f>AJ5</f>
        <v>46335</v>
      </c>
      <c r="AK4" s="107"/>
      <c r="AL4" s="107"/>
      <c r="AM4" s="107"/>
      <c r="AN4" s="107"/>
      <c r="AO4" s="107"/>
      <c r="AP4" s="107"/>
      <c r="AQ4" s="107">
        <f>AQ5</f>
        <v>46342</v>
      </c>
      <c r="AR4" s="107"/>
      <c r="AS4" s="107"/>
      <c r="AT4" s="107"/>
      <c r="AU4" s="107"/>
      <c r="AV4" s="107"/>
      <c r="AW4" s="107"/>
      <c r="AX4" s="107">
        <f>AX5</f>
        <v>46349</v>
      </c>
      <c r="AY4" s="107"/>
      <c r="AZ4" s="107"/>
      <c r="BA4" s="107"/>
      <c r="BB4" s="107"/>
      <c r="BC4" s="107"/>
      <c r="BD4" s="107"/>
      <c r="BE4" s="107">
        <f>BE5</f>
        <v>46356</v>
      </c>
      <c r="BF4" s="107"/>
      <c r="BG4" s="107"/>
      <c r="BH4" s="107"/>
      <c r="BI4" s="107"/>
      <c r="BJ4" s="107"/>
      <c r="BK4" s="108"/>
    </row>
    <row r="5" spans="1:63" s="20" customFormat="1" ht="15" customHeight="1" x14ac:dyDescent="0.2">
      <c r="A5" s="110"/>
      <c r="B5" s="111" t="s">
        <v>3</v>
      </c>
      <c r="C5" s="113" t="s">
        <v>4</v>
      </c>
      <c r="D5" s="113" t="s">
        <v>5</v>
      </c>
      <c r="E5" s="113" t="s">
        <v>6</v>
      </c>
      <c r="H5" s="24">
        <f>Project_Start-WEEKDAY(Project_Start,1)+2+7*(Display_Week-1)</f>
        <v>46307</v>
      </c>
      <c r="I5" s="24">
        <f>H5+1</f>
        <v>46308</v>
      </c>
      <c r="J5" s="24">
        <f t="shared" ref="J5:AW5" si="0">I5+1</f>
        <v>46309</v>
      </c>
      <c r="K5" s="24">
        <f t="shared" si="0"/>
        <v>46310</v>
      </c>
      <c r="L5" s="24">
        <f t="shared" si="0"/>
        <v>46311</v>
      </c>
      <c r="M5" s="24">
        <f t="shared" si="0"/>
        <v>46312</v>
      </c>
      <c r="N5" s="25">
        <f t="shared" si="0"/>
        <v>46313</v>
      </c>
      <c r="O5" s="26">
        <f>N5+1</f>
        <v>46314</v>
      </c>
      <c r="P5" s="24">
        <f>O5+1</f>
        <v>46315</v>
      </c>
      <c r="Q5" s="24">
        <f t="shared" si="0"/>
        <v>46316</v>
      </c>
      <c r="R5" s="24">
        <f t="shared" si="0"/>
        <v>46317</v>
      </c>
      <c r="S5" s="24">
        <f t="shared" si="0"/>
        <v>46318</v>
      </c>
      <c r="T5" s="24">
        <f t="shared" si="0"/>
        <v>46319</v>
      </c>
      <c r="U5" s="25">
        <f t="shared" si="0"/>
        <v>46320</v>
      </c>
      <c r="V5" s="26">
        <f>U5+1</f>
        <v>46321</v>
      </c>
      <c r="W5" s="24">
        <f>V5+1</f>
        <v>46322</v>
      </c>
      <c r="X5" s="24">
        <f t="shared" si="0"/>
        <v>46323</v>
      </c>
      <c r="Y5" s="24">
        <f t="shared" si="0"/>
        <v>46324</v>
      </c>
      <c r="Z5" s="24">
        <f t="shared" si="0"/>
        <v>46325</v>
      </c>
      <c r="AA5" s="24">
        <f t="shared" si="0"/>
        <v>46326</v>
      </c>
      <c r="AB5" s="25">
        <f t="shared" si="0"/>
        <v>46327</v>
      </c>
      <c r="AC5" s="26">
        <f>AB5+1</f>
        <v>46328</v>
      </c>
      <c r="AD5" s="24">
        <f>AC5+1</f>
        <v>46329</v>
      </c>
      <c r="AE5" s="24">
        <f t="shared" si="0"/>
        <v>46330</v>
      </c>
      <c r="AF5" s="24">
        <f t="shared" si="0"/>
        <v>46331</v>
      </c>
      <c r="AG5" s="24">
        <f t="shared" si="0"/>
        <v>46332</v>
      </c>
      <c r="AH5" s="24">
        <f t="shared" si="0"/>
        <v>46333</v>
      </c>
      <c r="AI5" s="25">
        <f t="shared" si="0"/>
        <v>46334</v>
      </c>
      <c r="AJ5" s="26">
        <f>AI5+1</f>
        <v>46335</v>
      </c>
      <c r="AK5" s="24">
        <f>AJ5+1</f>
        <v>46336</v>
      </c>
      <c r="AL5" s="24">
        <f t="shared" si="0"/>
        <v>46337</v>
      </c>
      <c r="AM5" s="24">
        <f t="shared" si="0"/>
        <v>46338</v>
      </c>
      <c r="AN5" s="24">
        <f t="shared" si="0"/>
        <v>46339</v>
      </c>
      <c r="AO5" s="24">
        <f t="shared" si="0"/>
        <v>46340</v>
      </c>
      <c r="AP5" s="25">
        <f t="shared" si="0"/>
        <v>46341</v>
      </c>
      <c r="AQ5" s="26">
        <f>AP5+1</f>
        <v>46342</v>
      </c>
      <c r="AR5" s="24">
        <f>AQ5+1</f>
        <v>46343</v>
      </c>
      <c r="AS5" s="24">
        <f t="shared" si="0"/>
        <v>46344</v>
      </c>
      <c r="AT5" s="24">
        <f t="shared" si="0"/>
        <v>46345</v>
      </c>
      <c r="AU5" s="24">
        <f t="shared" si="0"/>
        <v>46346</v>
      </c>
      <c r="AV5" s="24">
        <f t="shared" si="0"/>
        <v>46347</v>
      </c>
      <c r="AW5" s="25">
        <f t="shared" si="0"/>
        <v>46348</v>
      </c>
      <c r="AX5" s="26">
        <f>AW5+1</f>
        <v>46349</v>
      </c>
      <c r="AY5" s="24">
        <f>AX5+1</f>
        <v>46350</v>
      </c>
      <c r="AZ5" s="24">
        <f t="shared" ref="AZ5:BD5" si="1">AY5+1</f>
        <v>46351</v>
      </c>
      <c r="BA5" s="24">
        <f t="shared" si="1"/>
        <v>46352</v>
      </c>
      <c r="BB5" s="24">
        <f t="shared" si="1"/>
        <v>46353</v>
      </c>
      <c r="BC5" s="24">
        <f t="shared" si="1"/>
        <v>46354</v>
      </c>
      <c r="BD5" s="25">
        <f t="shared" si="1"/>
        <v>46355</v>
      </c>
      <c r="BE5" s="26">
        <f>BD5+1</f>
        <v>46356</v>
      </c>
      <c r="BF5" s="24">
        <f>BE5+1</f>
        <v>46357</v>
      </c>
      <c r="BG5" s="24">
        <f t="shared" ref="BG5:BK5" si="2">BF5+1</f>
        <v>46358</v>
      </c>
      <c r="BH5" s="24">
        <f t="shared" si="2"/>
        <v>46359</v>
      </c>
      <c r="BI5" s="24">
        <f t="shared" si="2"/>
        <v>46360</v>
      </c>
      <c r="BJ5" s="24">
        <f t="shared" si="2"/>
        <v>46361</v>
      </c>
      <c r="BK5" s="24">
        <f t="shared" si="2"/>
        <v>46362</v>
      </c>
    </row>
    <row r="6" spans="1:63" s="20" customFormat="1" ht="15" customHeight="1" thickBot="1" x14ac:dyDescent="0.25">
      <c r="A6" s="110"/>
      <c r="B6" s="112"/>
      <c r="C6" s="114"/>
      <c r="D6" s="114"/>
      <c r="E6" s="114"/>
      <c r="H6" s="27" t="str">
        <f t="shared" ref="H6:AM6" si="3">LEFT(TEXT(H5,"ddd"),1)</f>
        <v>M</v>
      </c>
      <c r="I6" s="28" t="str">
        <f t="shared" si="3"/>
        <v>T</v>
      </c>
      <c r="J6" s="28" t="str">
        <f t="shared" si="3"/>
        <v>W</v>
      </c>
      <c r="K6" s="28" t="str">
        <f t="shared" si="3"/>
        <v>T</v>
      </c>
      <c r="L6" s="28" t="str">
        <f t="shared" si="3"/>
        <v>F</v>
      </c>
      <c r="M6" s="28" t="str">
        <f t="shared" si="3"/>
        <v>S</v>
      </c>
      <c r="N6" s="28" t="str">
        <f t="shared" si="3"/>
        <v>S</v>
      </c>
      <c r="O6" s="28" t="str">
        <f t="shared" si="3"/>
        <v>M</v>
      </c>
      <c r="P6" s="28" t="str">
        <f t="shared" si="3"/>
        <v>T</v>
      </c>
      <c r="Q6" s="28" t="str">
        <f t="shared" si="3"/>
        <v>W</v>
      </c>
      <c r="R6" s="28" t="str">
        <f t="shared" si="3"/>
        <v>T</v>
      </c>
      <c r="S6" s="28" t="str">
        <f t="shared" si="3"/>
        <v>F</v>
      </c>
      <c r="T6" s="28" t="str">
        <f t="shared" si="3"/>
        <v>S</v>
      </c>
      <c r="U6" s="28" t="str">
        <f t="shared" si="3"/>
        <v>S</v>
      </c>
      <c r="V6" s="28" t="str">
        <f t="shared" si="3"/>
        <v>M</v>
      </c>
      <c r="W6" s="28" t="str">
        <f t="shared" si="3"/>
        <v>T</v>
      </c>
      <c r="X6" s="28" t="str">
        <f t="shared" si="3"/>
        <v>W</v>
      </c>
      <c r="Y6" s="28" t="str">
        <f t="shared" si="3"/>
        <v>T</v>
      </c>
      <c r="Z6" s="28" t="str">
        <f t="shared" si="3"/>
        <v>F</v>
      </c>
      <c r="AA6" s="28" t="str">
        <f t="shared" si="3"/>
        <v>S</v>
      </c>
      <c r="AB6" s="28" t="str">
        <f t="shared" si="3"/>
        <v>S</v>
      </c>
      <c r="AC6" s="28" t="str">
        <f t="shared" si="3"/>
        <v>M</v>
      </c>
      <c r="AD6" s="28" t="str">
        <f t="shared" si="3"/>
        <v>T</v>
      </c>
      <c r="AE6" s="28" t="str">
        <f t="shared" si="3"/>
        <v>W</v>
      </c>
      <c r="AF6" s="28" t="str">
        <f t="shared" si="3"/>
        <v>T</v>
      </c>
      <c r="AG6" s="28" t="str">
        <f t="shared" si="3"/>
        <v>F</v>
      </c>
      <c r="AH6" s="28" t="str">
        <f t="shared" si="3"/>
        <v>S</v>
      </c>
      <c r="AI6" s="28" t="str">
        <f t="shared" si="3"/>
        <v>S</v>
      </c>
      <c r="AJ6" s="28" t="str">
        <f t="shared" si="3"/>
        <v>M</v>
      </c>
      <c r="AK6" s="28" t="str">
        <f t="shared" si="3"/>
        <v>T</v>
      </c>
      <c r="AL6" s="28" t="str">
        <f t="shared" si="3"/>
        <v>W</v>
      </c>
      <c r="AM6" s="28" t="str">
        <f t="shared" si="3"/>
        <v>T</v>
      </c>
      <c r="AN6" s="28" t="str">
        <f t="shared" ref="AN6:BK6" si="4">LEFT(TEXT(AN5,"ddd"),1)</f>
        <v>F</v>
      </c>
      <c r="AO6" s="28" t="str">
        <f t="shared" si="4"/>
        <v>S</v>
      </c>
      <c r="AP6" s="28" t="str">
        <f t="shared" si="4"/>
        <v>S</v>
      </c>
      <c r="AQ6" s="28" t="str">
        <f t="shared" si="4"/>
        <v>M</v>
      </c>
      <c r="AR6" s="28" t="str">
        <f t="shared" si="4"/>
        <v>T</v>
      </c>
      <c r="AS6" s="28" t="str">
        <f t="shared" si="4"/>
        <v>W</v>
      </c>
      <c r="AT6" s="28" t="str">
        <f t="shared" si="4"/>
        <v>T</v>
      </c>
      <c r="AU6" s="28" t="str">
        <f t="shared" si="4"/>
        <v>F</v>
      </c>
      <c r="AV6" s="28" t="str">
        <f t="shared" si="4"/>
        <v>S</v>
      </c>
      <c r="AW6" s="28" t="str">
        <f t="shared" si="4"/>
        <v>S</v>
      </c>
      <c r="AX6" s="28" t="str">
        <f t="shared" si="4"/>
        <v>M</v>
      </c>
      <c r="AY6" s="28" t="str">
        <f t="shared" si="4"/>
        <v>T</v>
      </c>
      <c r="AZ6" s="28" t="str">
        <f t="shared" si="4"/>
        <v>W</v>
      </c>
      <c r="BA6" s="28" t="str">
        <f t="shared" si="4"/>
        <v>T</v>
      </c>
      <c r="BB6" s="28" t="str">
        <f t="shared" si="4"/>
        <v>F</v>
      </c>
      <c r="BC6" s="28" t="str">
        <f t="shared" si="4"/>
        <v>S</v>
      </c>
      <c r="BD6" s="28" t="str">
        <f t="shared" si="4"/>
        <v>S</v>
      </c>
      <c r="BE6" s="28" t="str">
        <f t="shared" si="4"/>
        <v>M</v>
      </c>
      <c r="BF6" s="28" t="str">
        <f t="shared" si="4"/>
        <v>T</v>
      </c>
      <c r="BG6" s="28" t="str">
        <f t="shared" si="4"/>
        <v>W</v>
      </c>
      <c r="BH6" s="28" t="str">
        <f t="shared" si="4"/>
        <v>T</v>
      </c>
      <c r="BI6" s="28" t="str">
        <f t="shared" si="4"/>
        <v>F</v>
      </c>
      <c r="BJ6" s="28" t="str">
        <f t="shared" si="4"/>
        <v>S</v>
      </c>
      <c r="BK6" s="29" t="str">
        <f t="shared" si="4"/>
        <v>S</v>
      </c>
    </row>
    <row r="7" spans="1:63" s="20" customFormat="1" ht="30" hidden="1" customHeight="1" thickBot="1" x14ac:dyDescent="0.25">
      <c r="A7" s="11" t="s">
        <v>7</v>
      </c>
      <c r="B7" s="30"/>
      <c r="C7" s="30"/>
      <c r="D7" s="30"/>
      <c r="E7" s="30"/>
      <c r="G7" s="20" t="str">
        <f>IF(OR(ISBLANK(task_start),ISBLANK(task_end)),"",task_end-task_start+1)</f>
        <v/>
      </c>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row>
    <row r="8" spans="1:63" s="37" customFormat="1" ht="30" customHeight="1" thickBot="1" x14ac:dyDescent="0.25">
      <c r="A8" s="70"/>
      <c r="B8" s="32" t="s">
        <v>34</v>
      </c>
      <c r="C8" s="33"/>
      <c r="D8" s="34"/>
      <c r="E8" s="35"/>
      <c r="F8" s="13"/>
      <c r="G8" s="4" t="str">
        <f t="shared" ref="G8:G37" si="5">IF(OR(ISBLANK(task_start),ISBLANK(task_end)),"",task_end-task_start+1)</f>
        <v/>
      </c>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row>
    <row r="9" spans="1:63" s="86" customFormat="1" ht="30" customHeight="1" thickBot="1" x14ac:dyDescent="0.25">
      <c r="A9" s="95"/>
      <c r="B9" s="96" t="s">
        <v>26</v>
      </c>
      <c r="C9" s="97">
        <v>1</v>
      </c>
      <c r="D9" s="98">
        <f>Project_Start</f>
        <v>46286</v>
      </c>
      <c r="E9" s="98">
        <v>46309</v>
      </c>
      <c r="F9" s="83"/>
      <c r="G9" s="84">
        <f t="shared" si="5"/>
        <v>24</v>
      </c>
      <c r="H9" s="85"/>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row>
    <row r="10" spans="1:63" s="37" customFormat="1" ht="30" customHeight="1" thickBot="1" x14ac:dyDescent="0.25">
      <c r="A10" s="70"/>
      <c r="B10" s="39" t="s">
        <v>43</v>
      </c>
      <c r="C10" s="40">
        <v>1</v>
      </c>
      <c r="D10" s="78">
        <v>46307</v>
      </c>
      <c r="E10" s="78">
        <v>46309</v>
      </c>
      <c r="F10" s="13"/>
      <c r="G10" s="4"/>
      <c r="H10" s="38"/>
      <c r="I10" s="38"/>
      <c r="J10" s="38"/>
      <c r="K10" s="38"/>
      <c r="L10" s="38"/>
      <c r="M10" s="38"/>
      <c r="N10" s="38"/>
      <c r="O10" s="38"/>
      <c r="P10" s="38"/>
      <c r="Q10" s="38"/>
      <c r="R10" s="38"/>
      <c r="S10" s="38"/>
      <c r="T10" s="41"/>
      <c r="U10" s="41"/>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row>
    <row r="11" spans="1:63" s="37" customFormat="1" ht="30" customHeight="1" thickBot="1" x14ac:dyDescent="0.25">
      <c r="A11" s="70"/>
      <c r="B11" s="39" t="s">
        <v>48</v>
      </c>
      <c r="C11" s="40">
        <v>0.8</v>
      </c>
      <c r="D11" s="78">
        <v>46286</v>
      </c>
      <c r="E11" s="78">
        <v>46316</v>
      </c>
      <c r="F11" s="13"/>
      <c r="G11" s="4">
        <f t="shared" si="5"/>
        <v>31</v>
      </c>
      <c r="H11" s="38"/>
      <c r="I11" s="38"/>
      <c r="J11" s="38"/>
      <c r="K11" s="38"/>
      <c r="L11" s="38"/>
      <c r="M11" s="38"/>
      <c r="N11" s="38"/>
      <c r="O11" s="38"/>
      <c r="P11" s="38"/>
      <c r="Q11" s="38"/>
      <c r="R11" s="38"/>
      <c r="S11" s="38"/>
      <c r="T11" s="41"/>
      <c r="U11" s="41"/>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row>
    <row r="12" spans="1:63" s="86" customFormat="1" ht="30" customHeight="1" thickBot="1" x14ac:dyDescent="0.25">
      <c r="A12" s="95"/>
      <c r="B12" s="80" t="s">
        <v>38</v>
      </c>
      <c r="C12" s="81">
        <v>0.25</v>
      </c>
      <c r="D12" s="82">
        <v>46309</v>
      </c>
      <c r="E12" s="82">
        <v>46327</v>
      </c>
      <c r="F12" s="83"/>
      <c r="G12" s="84"/>
      <c r="H12" s="85"/>
      <c r="I12" s="85"/>
      <c r="J12" s="85"/>
      <c r="K12" s="85"/>
      <c r="L12" s="85"/>
      <c r="M12" s="85"/>
      <c r="N12" s="85"/>
      <c r="O12" s="85"/>
      <c r="P12" s="85"/>
      <c r="Q12" s="85"/>
      <c r="R12" s="85"/>
      <c r="S12" s="85"/>
      <c r="T12" s="87"/>
      <c r="U12" s="87"/>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row>
    <row r="13" spans="1:63" s="37" customFormat="1" ht="30" customHeight="1" thickBot="1" x14ac:dyDescent="0.25">
      <c r="A13" s="70"/>
      <c r="B13" s="39" t="s">
        <v>33</v>
      </c>
      <c r="C13" s="40">
        <v>0.5</v>
      </c>
      <c r="D13" s="78">
        <v>46300</v>
      </c>
      <c r="E13" s="78">
        <v>46327</v>
      </c>
      <c r="F13" s="13"/>
      <c r="G13" s="4"/>
      <c r="H13" s="38"/>
      <c r="I13" s="38"/>
      <c r="J13" s="38"/>
      <c r="K13" s="38"/>
      <c r="L13" s="38"/>
      <c r="M13" s="38"/>
      <c r="N13" s="38"/>
      <c r="O13" s="38"/>
      <c r="P13" s="38"/>
      <c r="Q13" s="38"/>
      <c r="R13" s="38"/>
      <c r="S13" s="38"/>
      <c r="T13" s="41"/>
      <c r="U13" s="41"/>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c r="BK13" s="38"/>
    </row>
    <row r="14" spans="1:63" s="37" customFormat="1" ht="30" customHeight="1" thickBot="1" x14ac:dyDescent="0.25">
      <c r="A14" s="11"/>
      <c r="B14" s="39" t="s">
        <v>44</v>
      </c>
      <c r="C14" s="40">
        <v>0.25</v>
      </c>
      <c r="D14" s="78">
        <v>46327</v>
      </c>
      <c r="E14" s="78">
        <v>46370</v>
      </c>
      <c r="F14" s="13"/>
      <c r="G14" s="4">
        <f t="shared" si="5"/>
        <v>44</v>
      </c>
      <c r="H14" s="38"/>
      <c r="I14" s="38"/>
      <c r="J14" s="38"/>
      <c r="K14" s="38"/>
      <c r="L14" s="38"/>
      <c r="M14" s="38"/>
      <c r="N14" s="38"/>
      <c r="O14" s="38"/>
      <c r="P14" s="38"/>
      <c r="Q14" s="38"/>
      <c r="R14" s="38"/>
      <c r="S14" s="38"/>
      <c r="T14" s="38"/>
      <c r="U14" s="38"/>
      <c r="V14" s="38"/>
      <c r="W14" s="38"/>
      <c r="X14" s="41"/>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c r="BK14" s="38"/>
    </row>
    <row r="15" spans="1:63" s="37" customFormat="1" ht="30" customHeight="1" thickBot="1" x14ac:dyDescent="0.25">
      <c r="A15" s="11"/>
      <c r="B15" s="39" t="s">
        <v>35</v>
      </c>
      <c r="C15" s="40">
        <v>0</v>
      </c>
      <c r="D15" s="78">
        <v>46327</v>
      </c>
      <c r="E15" s="78">
        <v>46334</v>
      </c>
      <c r="F15" s="13"/>
      <c r="G15" s="4"/>
      <c r="H15" s="38"/>
      <c r="I15" s="38"/>
      <c r="J15" s="38"/>
      <c r="K15" s="38"/>
      <c r="L15" s="38"/>
      <c r="M15" s="38"/>
      <c r="N15" s="38"/>
      <c r="O15" s="38"/>
      <c r="P15" s="38"/>
      <c r="Q15" s="38"/>
      <c r="R15" s="38"/>
      <c r="S15" s="38"/>
      <c r="T15" s="38"/>
      <c r="U15" s="38"/>
      <c r="V15" s="38"/>
      <c r="W15" s="38"/>
      <c r="X15" s="41"/>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row>
    <row r="16" spans="1:63" s="37" customFormat="1" ht="30" customHeight="1" thickBot="1" x14ac:dyDescent="0.25">
      <c r="A16" s="11"/>
      <c r="B16" s="39" t="s">
        <v>30</v>
      </c>
      <c r="C16" s="40">
        <v>0</v>
      </c>
      <c r="D16" s="78">
        <v>46340</v>
      </c>
      <c r="E16" s="78">
        <v>46348</v>
      </c>
      <c r="F16" s="13"/>
      <c r="G16" s="4"/>
      <c r="H16" s="38"/>
      <c r="I16" s="38"/>
      <c r="J16" s="38"/>
      <c r="K16" s="38"/>
      <c r="L16" s="38"/>
      <c r="M16" s="38"/>
      <c r="N16" s="38"/>
      <c r="O16" s="38"/>
      <c r="P16" s="38"/>
      <c r="Q16" s="38"/>
      <c r="R16" s="38"/>
      <c r="S16" s="38"/>
      <c r="T16" s="38"/>
      <c r="U16" s="38"/>
      <c r="V16" s="38"/>
      <c r="W16" s="38"/>
      <c r="X16" s="41"/>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38"/>
      <c r="BK16" s="38"/>
    </row>
    <row r="17" spans="1:63" s="37" customFormat="1" ht="30" customHeight="1" thickBot="1" x14ac:dyDescent="0.25">
      <c r="A17" s="11"/>
      <c r="B17" s="39" t="s">
        <v>36</v>
      </c>
      <c r="C17" s="40">
        <v>0</v>
      </c>
      <c r="D17" s="78">
        <v>46348</v>
      </c>
      <c r="E17" s="78">
        <v>46355</v>
      </c>
      <c r="F17" s="13"/>
      <c r="G17" s="4"/>
      <c r="H17" s="38"/>
      <c r="I17" s="38"/>
      <c r="J17" s="38"/>
      <c r="K17" s="38"/>
      <c r="L17" s="38"/>
      <c r="M17" s="38"/>
      <c r="N17" s="38"/>
      <c r="O17" s="38"/>
      <c r="P17" s="38"/>
      <c r="Q17" s="38"/>
      <c r="R17" s="38"/>
      <c r="S17" s="38"/>
      <c r="T17" s="38"/>
      <c r="U17" s="38"/>
      <c r="V17" s="38"/>
      <c r="W17" s="38"/>
      <c r="X17" s="41"/>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c r="BK17" s="38"/>
    </row>
    <row r="18" spans="1:63" s="37" customFormat="1" ht="30" customHeight="1" thickBot="1" x14ac:dyDescent="0.25">
      <c r="A18" s="11"/>
      <c r="B18" s="39" t="s">
        <v>46</v>
      </c>
      <c r="C18" s="40">
        <v>0</v>
      </c>
      <c r="D18" s="78">
        <v>46374</v>
      </c>
      <c r="E18" s="78">
        <v>46416</v>
      </c>
      <c r="F18" s="13"/>
      <c r="G18" s="4">
        <f t="shared" si="5"/>
        <v>43</v>
      </c>
      <c r="H18" s="38"/>
      <c r="I18" s="38"/>
      <c r="J18" s="38"/>
      <c r="K18" s="38"/>
      <c r="L18" s="38"/>
      <c r="M18" s="38"/>
      <c r="N18" s="38"/>
      <c r="O18" s="38"/>
      <c r="P18" s="38"/>
      <c r="Q18" s="38"/>
      <c r="R18" s="38"/>
      <c r="S18" s="38"/>
      <c r="T18" s="38"/>
      <c r="U18" s="38"/>
      <c r="V18" s="38"/>
      <c r="W18" s="38"/>
      <c r="X18" s="41"/>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38"/>
      <c r="BK18" s="38"/>
    </row>
    <row r="19" spans="1:63" s="86" customFormat="1" ht="30" customHeight="1" thickBot="1" x14ac:dyDescent="0.25">
      <c r="A19" s="79"/>
      <c r="B19" s="88" t="s">
        <v>37</v>
      </c>
      <c r="C19" s="89">
        <v>0.05</v>
      </c>
      <c r="D19" s="90">
        <v>46478</v>
      </c>
      <c r="E19" s="90">
        <v>46508</v>
      </c>
      <c r="F19" s="83"/>
      <c r="G19" s="84"/>
      <c r="H19" s="91"/>
      <c r="I19" s="91"/>
      <c r="J19" s="91"/>
      <c r="K19" s="91"/>
      <c r="L19" s="91"/>
      <c r="M19" s="91"/>
      <c r="N19" s="91"/>
      <c r="O19" s="91"/>
      <c r="P19" s="91"/>
      <c r="Q19" s="91"/>
      <c r="R19" s="91"/>
      <c r="S19" s="91"/>
      <c r="T19" s="91"/>
      <c r="U19" s="91"/>
      <c r="V19" s="91"/>
      <c r="W19" s="91"/>
      <c r="X19" s="92"/>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row>
    <row r="20" spans="1:63" s="86" customFormat="1" ht="30" customHeight="1" thickBot="1" x14ac:dyDescent="0.25">
      <c r="A20" s="79"/>
      <c r="B20" s="88" t="s">
        <v>47</v>
      </c>
      <c r="C20" s="89">
        <v>0</v>
      </c>
      <c r="D20" s="90">
        <v>46491</v>
      </c>
      <c r="E20" s="90">
        <v>46508</v>
      </c>
      <c r="F20" s="83"/>
      <c r="G20" s="84"/>
      <c r="H20" s="91"/>
      <c r="I20" s="91"/>
      <c r="J20" s="91"/>
      <c r="K20" s="91"/>
      <c r="L20" s="91"/>
      <c r="M20" s="91"/>
      <c r="N20" s="91"/>
      <c r="O20" s="91"/>
      <c r="P20" s="91"/>
      <c r="Q20" s="91"/>
      <c r="R20" s="91"/>
      <c r="S20" s="91"/>
      <c r="T20" s="91"/>
      <c r="U20" s="91"/>
      <c r="V20" s="91"/>
      <c r="W20" s="91"/>
      <c r="X20" s="92"/>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row>
    <row r="21" spans="1:63" s="37" customFormat="1" ht="30" customHeight="1" thickBot="1" x14ac:dyDescent="0.25">
      <c r="A21" s="70"/>
      <c r="B21" s="42" t="s">
        <v>27</v>
      </c>
      <c r="C21" s="43"/>
      <c r="D21" s="44"/>
      <c r="E21" s="45"/>
      <c r="F21" s="13"/>
      <c r="G21" s="4" t="str">
        <f t="shared" si="5"/>
        <v/>
      </c>
    </row>
    <row r="22" spans="1:63" s="37" customFormat="1" ht="30" customHeight="1" thickBot="1" x14ac:dyDescent="0.25">
      <c r="A22" s="70"/>
      <c r="B22" s="46" t="s">
        <v>28</v>
      </c>
      <c r="C22" s="47">
        <v>1</v>
      </c>
      <c r="D22" s="71">
        <v>46302</v>
      </c>
      <c r="E22" s="71">
        <v>46313</v>
      </c>
      <c r="F22" s="13"/>
      <c r="G22" s="4">
        <f t="shared" si="5"/>
        <v>12</v>
      </c>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38"/>
      <c r="BH22" s="38"/>
      <c r="BI22" s="38"/>
      <c r="BJ22" s="38"/>
      <c r="BK22" s="38"/>
    </row>
    <row r="23" spans="1:63" s="37" customFormat="1" ht="30" customHeight="1" thickBot="1" x14ac:dyDescent="0.25">
      <c r="A23" s="11"/>
      <c r="B23" s="46" t="s">
        <v>42</v>
      </c>
      <c r="C23" s="47">
        <v>0.25</v>
      </c>
      <c r="D23" s="71">
        <v>46309</v>
      </c>
      <c r="E23" s="71">
        <v>46325</v>
      </c>
      <c r="F23" s="13"/>
      <c r="G23" s="4">
        <f t="shared" si="5"/>
        <v>17</v>
      </c>
      <c r="H23" s="38"/>
      <c r="I23" s="38"/>
      <c r="J23" s="38"/>
      <c r="K23" s="38"/>
      <c r="L23" s="38"/>
      <c r="M23" s="38"/>
      <c r="N23" s="38"/>
      <c r="O23" s="38"/>
      <c r="P23" s="38"/>
      <c r="Q23" s="38"/>
      <c r="R23" s="38"/>
      <c r="S23" s="38"/>
      <c r="T23" s="41"/>
      <c r="U23" s="41"/>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38"/>
      <c r="AZ23" s="38"/>
      <c r="BA23" s="38"/>
      <c r="BB23" s="38"/>
      <c r="BC23" s="38"/>
      <c r="BD23" s="38"/>
      <c r="BE23" s="38"/>
      <c r="BF23" s="38"/>
      <c r="BG23" s="38"/>
      <c r="BH23" s="38"/>
      <c r="BI23" s="38"/>
      <c r="BJ23" s="38"/>
      <c r="BK23" s="38"/>
    </row>
    <row r="24" spans="1:63" s="37" customFormat="1" ht="30" customHeight="1" thickBot="1" x14ac:dyDescent="0.25">
      <c r="A24" s="11"/>
      <c r="B24" s="46" t="s">
        <v>45</v>
      </c>
      <c r="C24" s="47">
        <v>0.25</v>
      </c>
      <c r="D24" s="71">
        <v>46313</v>
      </c>
      <c r="E24" s="71">
        <v>46356</v>
      </c>
      <c r="F24" s="13"/>
      <c r="G24" s="4"/>
      <c r="H24" s="38"/>
      <c r="I24" s="38"/>
      <c r="J24" s="38"/>
      <c r="K24" s="38"/>
      <c r="L24" s="38"/>
      <c r="M24" s="38"/>
      <c r="N24" s="38"/>
      <c r="O24" s="38"/>
      <c r="P24" s="38"/>
      <c r="Q24" s="38"/>
      <c r="R24" s="38"/>
      <c r="S24" s="38"/>
      <c r="T24" s="41"/>
      <c r="U24" s="41"/>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38"/>
      <c r="BH24" s="38"/>
      <c r="BI24" s="38"/>
      <c r="BJ24" s="38"/>
      <c r="BK24" s="38"/>
    </row>
    <row r="25" spans="1:63" s="37" customFormat="1" ht="30" customHeight="1" thickBot="1" x14ac:dyDescent="0.25">
      <c r="A25" s="11"/>
      <c r="B25" s="46" t="s">
        <v>22</v>
      </c>
      <c r="C25" s="47">
        <v>0</v>
      </c>
      <c r="D25" s="71">
        <v>46357</v>
      </c>
      <c r="E25" s="71">
        <v>46363</v>
      </c>
      <c r="F25" s="13"/>
      <c r="G25" s="4">
        <f t="shared" si="5"/>
        <v>7</v>
      </c>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H25" s="38"/>
      <c r="BI25" s="38"/>
      <c r="BJ25" s="38"/>
      <c r="BK25" s="38"/>
    </row>
    <row r="26" spans="1:63" s="37" customFormat="1" ht="30" customHeight="1" thickBot="1" x14ac:dyDescent="0.25">
      <c r="A26" s="11"/>
      <c r="B26" s="48" t="s">
        <v>24</v>
      </c>
      <c r="C26" s="49"/>
      <c r="D26" s="72"/>
      <c r="E26" s="73"/>
      <c r="F26" s="13"/>
      <c r="G26" s="4" t="str">
        <f t="shared" si="5"/>
        <v/>
      </c>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row>
    <row r="27" spans="1:63" s="86" customFormat="1" ht="30" customHeight="1" thickBot="1" x14ac:dyDescent="0.25">
      <c r="A27" s="79"/>
      <c r="B27" s="99" t="s">
        <v>23</v>
      </c>
      <c r="C27" s="100">
        <v>0</v>
      </c>
      <c r="D27" s="101">
        <v>46357</v>
      </c>
      <c r="E27" s="101">
        <v>46374</v>
      </c>
      <c r="F27" s="83"/>
      <c r="G27" s="84">
        <f t="shared" si="5"/>
        <v>18</v>
      </c>
      <c r="H27" s="85"/>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row>
    <row r="28" spans="1:63" s="37" customFormat="1" ht="30" customHeight="1" thickBot="1" x14ac:dyDescent="0.25">
      <c r="A28" s="11"/>
      <c r="B28" s="51" t="s">
        <v>31</v>
      </c>
      <c r="C28" s="52">
        <v>0</v>
      </c>
      <c r="D28" s="74">
        <v>46419</v>
      </c>
      <c r="E28" s="74">
        <v>46439</v>
      </c>
      <c r="F28" s="13"/>
      <c r="G28" s="4">
        <f t="shared" si="5"/>
        <v>21</v>
      </c>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38"/>
      <c r="BK28" s="38"/>
    </row>
    <row r="29" spans="1:63" s="86" customFormat="1" ht="30" customHeight="1" thickBot="1" x14ac:dyDescent="0.25">
      <c r="A29" s="79"/>
      <c r="B29" s="99" t="s">
        <v>32</v>
      </c>
      <c r="C29" s="100">
        <v>0</v>
      </c>
      <c r="D29" s="101">
        <v>46439</v>
      </c>
      <c r="E29" s="101">
        <v>46447</v>
      </c>
      <c r="F29" s="83"/>
      <c r="G29" s="84">
        <f t="shared" si="5"/>
        <v>9</v>
      </c>
      <c r="H29" s="85"/>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row>
    <row r="30" spans="1:63" s="37" customFormat="1" ht="30" customHeight="1" thickBot="1" x14ac:dyDescent="0.25">
      <c r="A30" s="11"/>
      <c r="B30" s="51" t="s">
        <v>39</v>
      </c>
      <c r="C30" s="52">
        <v>0</v>
      </c>
      <c r="D30" s="74">
        <v>46447</v>
      </c>
      <c r="E30" s="74">
        <v>46453</v>
      </c>
      <c r="F30" s="13"/>
      <c r="G30" s="4">
        <f t="shared" si="5"/>
        <v>7</v>
      </c>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38"/>
      <c r="BK30" s="38"/>
    </row>
    <row r="31" spans="1:63" s="37" customFormat="1" ht="30" customHeight="1" thickBot="1" x14ac:dyDescent="0.25">
      <c r="A31" s="11"/>
      <c r="B31" s="51" t="s">
        <v>40</v>
      </c>
      <c r="C31" s="52">
        <v>0</v>
      </c>
      <c r="D31" s="74">
        <v>46453</v>
      </c>
      <c r="E31" s="74">
        <v>46460</v>
      </c>
      <c r="F31" s="13"/>
      <c r="G31" s="4">
        <f t="shared" si="5"/>
        <v>8</v>
      </c>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38"/>
      <c r="BK31" s="38"/>
    </row>
    <row r="32" spans="1:63" s="37" customFormat="1" ht="30" customHeight="1" thickBot="1" x14ac:dyDescent="0.25">
      <c r="A32" s="11"/>
      <c r="B32" s="53" t="s">
        <v>25</v>
      </c>
      <c r="C32" s="54"/>
      <c r="D32" s="75"/>
      <c r="E32" s="76"/>
      <c r="F32" s="13"/>
      <c r="G32" s="4" t="str">
        <f t="shared" si="5"/>
        <v/>
      </c>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row>
    <row r="33" spans="1:63" s="37" customFormat="1" ht="30" customHeight="1" thickBot="1" x14ac:dyDescent="0.25">
      <c r="A33" s="11"/>
      <c r="B33" s="56" t="s">
        <v>28</v>
      </c>
      <c r="C33" s="57">
        <v>0</v>
      </c>
      <c r="D33" s="77">
        <v>46340</v>
      </c>
      <c r="E33" s="77">
        <v>46374</v>
      </c>
      <c r="F33" s="13"/>
      <c r="G33" s="4">
        <f t="shared" si="5"/>
        <v>35</v>
      </c>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38"/>
      <c r="BK33" s="38"/>
    </row>
    <row r="34" spans="1:63" s="37" customFormat="1" ht="30" customHeight="1" thickBot="1" x14ac:dyDescent="0.25">
      <c r="A34" s="11"/>
      <c r="B34" s="56" t="s">
        <v>49</v>
      </c>
      <c r="C34" s="57">
        <v>0</v>
      </c>
      <c r="D34" s="77">
        <v>46439</v>
      </c>
      <c r="E34" s="77">
        <v>46447</v>
      </c>
      <c r="F34" s="13"/>
      <c r="G34" s="4">
        <f t="shared" si="5"/>
        <v>9</v>
      </c>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38"/>
      <c r="BK34" s="38"/>
    </row>
    <row r="35" spans="1:63" s="37" customFormat="1" ht="30" customHeight="1" thickBot="1" x14ac:dyDescent="0.25">
      <c r="A35" s="11"/>
      <c r="B35" s="56" t="s">
        <v>41</v>
      </c>
      <c r="C35" s="57">
        <v>0</v>
      </c>
      <c r="D35" s="77">
        <v>46447</v>
      </c>
      <c r="E35" s="77">
        <v>46478</v>
      </c>
      <c r="F35" s="13"/>
      <c r="G35" s="4">
        <f t="shared" si="5"/>
        <v>32</v>
      </c>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row>
    <row r="36" spans="1:63" s="37" customFormat="1" ht="30" customHeight="1" thickBot="1" x14ac:dyDescent="0.25">
      <c r="A36" s="11"/>
      <c r="B36" s="56" t="s">
        <v>40</v>
      </c>
      <c r="C36" s="57">
        <v>0</v>
      </c>
      <c r="D36" s="77">
        <v>46478</v>
      </c>
      <c r="E36" s="77">
        <v>46508</v>
      </c>
      <c r="F36" s="13"/>
      <c r="G36" s="4">
        <f t="shared" si="5"/>
        <v>31</v>
      </c>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c r="BK36" s="38"/>
    </row>
    <row r="37" spans="1:63" s="37" customFormat="1" ht="30" customHeight="1" thickBot="1" x14ac:dyDescent="0.25">
      <c r="A37" s="11"/>
      <c r="B37" s="58"/>
      <c r="C37" s="59"/>
      <c r="D37" s="60"/>
      <c r="E37" s="60"/>
      <c r="F37" s="13"/>
      <c r="G37" s="4" t="str">
        <f t="shared" si="5"/>
        <v/>
      </c>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row>
    <row r="38" spans="1:63" ht="30" customHeight="1" x14ac:dyDescent="0.2">
      <c r="F38" s="3"/>
    </row>
    <row r="39" spans="1:63" ht="30" customHeight="1" x14ac:dyDescent="0.2">
      <c r="E39" s="12"/>
    </row>
  </sheetData>
  <mergeCells count="17">
    <mergeCell ref="A5:A6"/>
    <mergeCell ref="B5:B6"/>
    <mergeCell ref="C5:C6"/>
    <mergeCell ref="D5:D6"/>
    <mergeCell ref="E5:E6"/>
    <mergeCell ref="P2:Y2"/>
    <mergeCell ref="P1:Y1"/>
    <mergeCell ref="H1:N1"/>
    <mergeCell ref="H2:N2"/>
    <mergeCell ref="BE4:BK4"/>
    <mergeCell ref="H4:N4"/>
    <mergeCell ref="O4:U4"/>
    <mergeCell ref="V4:AB4"/>
    <mergeCell ref="AC4:AI4"/>
    <mergeCell ref="AJ4:AP4"/>
    <mergeCell ref="AQ4:AW4"/>
    <mergeCell ref="AX4:BD4"/>
  </mergeCells>
  <conditionalFormatting sqref="C7:C37">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H4:BK36">
    <cfRule type="expression" dxfId="8" priority="1">
      <formula>AND(TODAY()&gt;=H$5, TODAY()&lt;I$5)</formula>
    </cfRule>
  </conditionalFormatting>
  <conditionalFormatting sqref="H9:BK20">
    <cfRule type="expression" dxfId="7" priority="6">
      <formula>AND(task_start&lt;=H$5,ROUNDDOWN((task_end-task_start+1)*task_progress,0)+task_start-1&gt;=H$5)</formula>
    </cfRule>
    <cfRule type="expression" dxfId="6" priority="7" stopIfTrue="1">
      <formula>AND(task_end&gt;=H$5,task_start&lt;I$5)</formula>
    </cfRule>
  </conditionalFormatting>
  <conditionalFormatting sqref="H22:BK25">
    <cfRule type="expression" dxfId="5" priority="4">
      <formula>AND(task_start&lt;=H$5,ROUNDDOWN((task_end-task_start+1)*task_progress,0)+task_start-1&gt;=H$5)</formula>
    </cfRule>
    <cfRule type="expression" dxfId="4" priority="5" stopIfTrue="1">
      <formula>AND(task_end&gt;=H$5,task_start&lt;I$5)</formula>
    </cfRule>
  </conditionalFormatting>
  <conditionalFormatting sqref="H27:BK31">
    <cfRule type="expression" dxfId="3" priority="2">
      <formula>AND(task_start&lt;=H$5,ROUNDDOWN((task_end-task_start+1)*task_progress,0)+task_start-1&gt;=H$5)</formula>
    </cfRule>
    <cfRule type="expression" dxfId="2" priority="3" stopIfTrue="1">
      <formula>AND(task_end&gt;=H$5,task_start&lt;I$5)</formula>
    </cfRule>
  </conditionalFormatting>
  <conditionalFormatting sqref="H33:BK36">
    <cfRule type="expression" dxfId="1" priority="36">
      <formula>AND(task_start&lt;=H$5,ROUNDDOWN((task_end-task_start+1)*task_progress,0)+task_start-1&gt;=H$5)</formula>
    </cfRule>
    <cfRule type="expression" dxfId="0" priority="37" stopIfTrue="1">
      <formula>AND(task_end&gt;=H$5,task_start&lt;I$5)</formula>
    </cfRule>
  </conditionalFormatting>
  <dataValidations count="12">
    <dataValidation type="whole" operator="greaterThanOrEqual" allowBlank="1" showInputMessage="1" promptTitle="Display Week" prompt="Changing this number will scroll the Gantt Chart view." sqref="P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21" xr:uid="{4F48FC41-E335-47F1-87AA-3333A52AD81C}"/>
    <dataValidation allowBlank="1" showInputMessage="1" showErrorMessage="1" prompt="Phase 3's sample block starts in cell B20." sqref="A26" xr:uid="{956902D1-D3B5-416D-BB69-9362D193BC0A}"/>
    <dataValidation allowBlank="1" showInputMessage="1" showErrorMessage="1" prompt="Phase 4's sample block starts in cell B26." sqref="A32" xr:uid="{DE54E5DE-526D-4D71-8D03-E99B4AB2FEE5}"/>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A13" xr:uid="{872449A7-C3CC-45B6-BA90-B1AAD66BA0E5}"/>
  </dataValidations>
  <hyperlinks>
    <hyperlink ref="B3" r:id="rId1" xr:uid="{00000000-0004-0000-0000-000001000000}"/>
  </hyperlinks>
  <printOptions horizontalCentered="1"/>
  <pageMargins left="0.35" right="0.35" top="0.35" bottom="0.5" header="0.3" footer="0.3"/>
  <pageSetup scale="55" fitToHeight="0" orientation="landscape" r:id="rId2"/>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C7:C37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7" zoomScaleNormal="100" workbookViewId="0">
      <selection activeCell="A10" sqref="A10"/>
    </sheetView>
  </sheetViews>
  <sheetFormatPr defaultColWidth="9" defaultRowHeight="12.75" x14ac:dyDescent="0.2"/>
  <cols>
    <col min="1" max="1" width="87" style="5" customWidth="1"/>
    <col min="2" max="16384" width="9" style="1"/>
  </cols>
  <sheetData>
    <row r="1" spans="1:2" ht="46.5" customHeight="1" x14ac:dyDescent="0.2"/>
    <row r="2" spans="1:2" s="7" customFormat="1" ht="15.75" x14ac:dyDescent="0.2">
      <c r="A2" s="63" t="s">
        <v>2</v>
      </c>
      <c r="B2" s="6"/>
    </row>
    <row r="3" spans="1:2" s="9" customFormat="1" ht="27" customHeight="1" x14ac:dyDescent="0.2">
      <c r="A3" s="64"/>
      <c r="B3" s="10"/>
    </row>
    <row r="4" spans="1:2" s="8" customFormat="1" ht="31.5" x14ac:dyDescent="0.6">
      <c r="A4" s="65" t="s">
        <v>8</v>
      </c>
    </row>
    <row r="5" spans="1:2" ht="74.25" customHeight="1" x14ac:dyDescent="0.2">
      <c r="A5" s="66" t="s">
        <v>9</v>
      </c>
    </row>
    <row r="6" spans="1:2" ht="26.25" customHeight="1" x14ac:dyDescent="0.2">
      <c r="A6" s="65" t="s">
        <v>10</v>
      </c>
    </row>
    <row r="7" spans="1:2" s="5" customFormat="1" ht="205.15" customHeight="1" x14ac:dyDescent="0.2">
      <c r="A7" s="67" t="s">
        <v>11</v>
      </c>
    </row>
    <row r="8" spans="1:2" s="8" customFormat="1" ht="31.5" x14ac:dyDescent="0.6">
      <c r="A8" s="65" t="s">
        <v>12</v>
      </c>
    </row>
    <row r="9" spans="1:2" ht="57" x14ac:dyDescent="0.2">
      <c r="A9" s="66" t="s">
        <v>13</v>
      </c>
    </row>
    <row r="10" spans="1:2" s="5" customFormat="1" ht="28.15" customHeight="1" x14ac:dyDescent="0.2">
      <c r="A10" s="68" t="s">
        <v>14</v>
      </c>
    </row>
    <row r="11" spans="1:2" s="8" customFormat="1" ht="31.5" x14ac:dyDescent="0.6">
      <c r="A11" s="65" t="s">
        <v>15</v>
      </c>
    </row>
    <row r="12" spans="1:2" ht="28.5" x14ac:dyDescent="0.2">
      <c r="A12" s="66" t="s">
        <v>16</v>
      </c>
    </row>
    <row r="13" spans="1:2" s="5" customFormat="1" ht="28.15" customHeight="1" x14ac:dyDescent="0.2">
      <c r="A13" s="68" t="s">
        <v>17</v>
      </c>
    </row>
    <row r="14" spans="1:2" s="8" customFormat="1" ht="31.5" x14ac:dyDescent="0.6">
      <c r="A14" s="65" t="s">
        <v>18</v>
      </c>
    </row>
    <row r="15" spans="1:2" ht="75" customHeight="1" x14ac:dyDescent="0.2">
      <c r="A15" s="66" t="s">
        <v>19</v>
      </c>
    </row>
    <row r="16" spans="1:2" ht="71.25" x14ac:dyDescent="0.2">
      <c r="A16" s="66" t="s">
        <v>20</v>
      </c>
    </row>
    <row r="17" spans="1:1" x14ac:dyDescent="0.2">
      <c r="A17" s="69"/>
    </row>
    <row r="18" spans="1:1" x14ac:dyDescent="0.2">
      <c r="A18" s="69"/>
    </row>
    <row r="19" spans="1:1" x14ac:dyDescent="0.2">
      <c r="A19" s="69"/>
    </row>
    <row r="20" spans="1:1" x14ac:dyDescent="0.2">
      <c r="A20" s="69"/>
    </row>
    <row r="21" spans="1:1" x14ac:dyDescent="0.2">
      <c r="A21" s="69"/>
    </row>
    <row r="22" spans="1:1" x14ac:dyDescent="0.2">
      <c r="A22" s="69"/>
    </row>
    <row r="23" spans="1:1" x14ac:dyDescent="0.2">
      <c r="A23" s="69"/>
    </row>
    <row r="24" spans="1:1" x14ac:dyDescent="0.2">
      <c r="A24" s="69"/>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ds:schemaRefs>
    <ds:schemaRef ds:uri="http://purl.org/dc/elements/1.1/"/>
    <ds:schemaRef ds:uri="http://schemas.openxmlformats.org/package/2006/metadata/core-properties"/>
    <ds:schemaRef ds:uri="http://purl.org/dc/dcmitype/"/>
    <ds:schemaRef ds:uri="http://schemas.microsoft.com/office/2006/documentManagement/types"/>
    <ds:schemaRef ds:uri="71af3243-3dd4-4a8d-8c0d-dd76da1f02a5"/>
    <ds:schemaRef ds:uri="http://www.w3.org/XML/1998/namespace"/>
    <ds:schemaRef ds:uri="http://schemas.microsoft.com/office/infopath/2007/PartnerControls"/>
    <ds:schemaRef ds:uri="http://purl.org/dc/terms/"/>
    <ds:schemaRef ds:uri="230e9df3-be65-4c73-a93b-d1236ebd677e"/>
    <ds:schemaRef ds:uri="16c05727-aa75-4e4a-9b5f-8a80a1165891"/>
    <ds:schemaRef ds:uri="http://schemas.microsoft.com/sharepoint/v3"/>
    <ds:schemaRef ds:uri="http://schemas.microsoft.com/office/2006/metadata/properties"/>
  </ds:schemaRefs>
</ds:datastoreItem>
</file>

<file path=customXml/itemProps2.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Brent Jacobs</dc:creator>
  <cp:keywords/>
  <dc:description/>
  <cp:lastModifiedBy>Brent Jacobs</cp:lastModifiedBy>
  <cp:revision/>
  <cp:lastPrinted>2026-10-13T07:25:27Z</cp:lastPrinted>
  <dcterms:created xsi:type="dcterms:W3CDTF">2026-10-04T10:20:14Z</dcterms:created>
  <dcterms:modified xsi:type="dcterms:W3CDTF">2026-10-13T07:25:30Z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