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d.docs.live.net/8564a8c591b3536d/Documenten/Uni/Thesis/"/>
    </mc:Choice>
  </mc:AlternateContent>
  <xr:revisionPtr revIDLastSave="280" documentId="8_{E3DC4D32-73A5-476F-9434-1C62C3491628}" xr6:coauthVersionLast="47" xr6:coauthVersionMax="47" xr10:uidLastSave="{37A081AD-B0A9-412B-9144-C7AB51AB3ACB}"/>
  <bookViews>
    <workbookView xWindow="-120" yWindow="-120" windowWidth="29040" windowHeight="1644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6" i="11" l="1"/>
  <c r="G15" i="11"/>
  <c r="G7" i="11"/>
  <c r="D9" i="11" l="1"/>
  <c r="H5" i="11" l="1"/>
  <c r="G39" i="11"/>
  <c r="G34" i="11"/>
  <c r="G28" i="11"/>
  <c r="G23" i="11"/>
  <c r="G8" i="11"/>
  <c r="G29" i="11" l="1"/>
  <c r="G30" i="11"/>
  <c r="G9" i="11"/>
  <c r="H6" i="11"/>
  <c r="D37" i="11" l="1"/>
  <c r="G38" i="11"/>
  <c r="G35" i="11"/>
  <c r="G33" i="11"/>
  <c r="G10" i="11"/>
  <c r="G31" i="11"/>
  <c r="G24" i="11"/>
  <c r="I5" i="11"/>
  <c r="J5" i="11" s="1"/>
  <c r="K5" i="11" s="1"/>
  <c r="L5" i="11" s="1"/>
  <c r="M5" i="11" s="1"/>
  <c r="N5" i="11" s="1"/>
  <c r="O5" i="11" s="1"/>
  <c r="H4" i="11"/>
  <c r="G36" i="11" l="1"/>
  <c r="E37" i="11"/>
  <c r="G37" i="11" s="1"/>
  <c r="G32" i="11"/>
  <c r="G25" i="11"/>
  <c r="G21" i="11"/>
  <c r="O4" i="11"/>
  <c r="P5" i="11"/>
  <c r="Q5" i="11" s="1"/>
  <c r="R5" i="11" s="1"/>
  <c r="S5" i="11" s="1"/>
  <c r="T5" i="11" s="1"/>
  <c r="U5" i="11" s="1"/>
  <c r="V5" i="11" s="1"/>
  <c r="I6" i="11"/>
  <c r="G27" i="11" l="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<sst xmlns="http://schemas.openxmlformats.org/spreadsheetml/2006/main" count="55" uniqueCount="52">
  <si>
    <t>Project start:</t>
  </si>
  <si>
    <t>Display week:</t>
  </si>
  <si>
    <t>SIMPLE GANTT CHART by Vertex42.com</t>
  </si>
  <si>
    <t>TASK</t>
  </si>
  <si>
    <t>PROGRESS</t>
  </si>
  <si>
    <t>START</t>
  </si>
  <si>
    <t>END</t>
  </si>
  <si>
    <t xml:space="preserve">Do not delete this row. This row is hidden to preserve a formula that is used to highlight the current day within the project schedule. </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</si>
  <si>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</si>
  <si>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</si>
  <si>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</si>
  <si>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</si>
  <si>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</si>
  <si>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</si>
  <si>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</si>
  <si>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</si>
  <si>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</si>
  <si>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</si>
  <si>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</si>
  <si>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</si>
  <si>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</si>
  <si>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GSS Thesis</t>
  </si>
  <si>
    <t>FMEA</t>
  </si>
  <si>
    <t>BOM</t>
  </si>
  <si>
    <t>Hardware</t>
  </si>
  <si>
    <t>Software</t>
  </si>
  <si>
    <t>First defence</t>
  </si>
  <si>
    <t>Make planning</t>
  </si>
  <si>
    <t>Simulation</t>
  </si>
  <si>
    <t>Prelimenairy model</t>
  </si>
  <si>
    <t>Jacobs Brent</t>
  </si>
  <si>
    <t>Exams</t>
  </si>
  <si>
    <t>Second defence</t>
  </si>
  <si>
    <t>ATHENS</t>
  </si>
  <si>
    <t>PCB design</t>
  </si>
  <si>
    <t>PCB production</t>
  </si>
  <si>
    <t>Specification review (FEB)</t>
  </si>
  <si>
    <t>Planning &amp; Lit review deadline</t>
  </si>
  <si>
    <t>Non-technical</t>
  </si>
  <si>
    <t>CAICD</t>
  </si>
  <si>
    <t>CPAEP</t>
  </si>
  <si>
    <t>Final Text</t>
  </si>
  <si>
    <t>SoTA</t>
  </si>
  <si>
    <t>Literature study</t>
  </si>
  <si>
    <t>Assembly</t>
  </si>
  <si>
    <t>Testing</t>
  </si>
  <si>
    <t>choose µprocessor</t>
  </si>
  <si>
    <t>Write code</t>
  </si>
  <si>
    <t>Spec 2 Spec</t>
  </si>
  <si>
    <t>First FEB budget</t>
  </si>
  <si>
    <t>Final FEB budget</t>
  </si>
  <si>
    <t>Build simulator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</si>
</sst>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d/m/yy;@"/>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1"/>
      <color rgb="FF9C0006"/>
      <name val="Arial"/>
      <family val="2"/>
      <scheme val="minor"/>
    </font>
    <font>
      <b/>
      <sz val="11"/>
      <color theme="0"/>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C7CE"/>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26" fillId="13" borderId="0" applyNumberFormat="0" applyBorder="0" applyAlignment="0" applyProtection="0"/>
  </cellStyleXfs>
  <cellXfs count="11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4" fillId="0" borderId="3" xfId="0" applyFont="1" applyBorder="1" applyAlignment="1">
      <alignment vertical="center"/>
    </xf>
    <xf numFmtId="0" fontId="19" fillId="6" borderId="0" xfId="0" applyFont="1" applyFill="1" applyAlignment="1">
      <alignment horizontal="left" vertical="center" indent="1"/>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9" fontId="1" fillId="3" borderId="6" xfId="2" applyFont="1" applyFill="1" applyBorder="1" applyAlignment="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2" applyFont="1" applyFill="1" applyBorder="1">
      <alignment horizontal="left" vertical="center" indent="2"/>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9" fontId="1" fillId="8" borderId="0" xfId="2" applyFont="1" applyFill="1" applyBorder="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9" fontId="1" fillId="5" borderId="8" xfId="2" applyFont="1" applyFill="1" applyBorder="1" applyAlignment="1">
      <alignment horizontal="center" vertical="center"/>
    </xf>
    <xf numFmtId="0" fontId="19" fillId="9" borderId="0" xfId="0" applyFont="1" applyFill="1" applyAlignment="1">
      <alignment horizontal="left" vertical="center" indent="1"/>
    </xf>
    <xf numFmtId="9" fontId="1" fillId="9" borderId="0" xfId="2" applyFont="1" applyFill="1" applyBorder="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9" fontId="1" fillId="10" borderId="9" xfId="2" applyFont="1" applyFill="1" applyBorder="1" applyAlignment="1">
      <alignment horizontal="center" vertical="center"/>
    </xf>
    <xf numFmtId="0" fontId="15" fillId="0" borderId="0" xfId="12" applyFont="1" applyBorder="1">
      <alignment horizontal="left" vertical="center" indent="2"/>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0" borderId="0" xfId="6" applyFont="1" applyAlignment="1">
      <alignment horizontal="left" vertical="center" indent="1"/>
    </xf>
    <xf numFmtId="0" fontId="23"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169" fontId="15" fillId="4" borderId="5" xfId="10" applyNumberFormat="1" applyFont="1" applyFill="1" applyBorder="1">
      <alignment horizontal="center" vertical="center"/>
    </xf>
    <xf numFmtId="169" fontId="15"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5" fillId="5" borderId="8" xfId="10" applyNumberFormat="1" applyFont="1" applyFill="1" applyBorder="1">
      <alignment horizontal="center" vertical="center"/>
    </xf>
    <xf numFmtId="169" fontId="15" fillId="9" borderId="0" xfId="0" applyNumberFormat="1" applyFont="1" applyFill="1" applyAlignment="1">
      <alignment horizontal="center" vertical="center"/>
    </xf>
    <xf numFmtId="169" fontId="1" fillId="9" borderId="0" xfId="0" applyNumberFormat="1" applyFont="1" applyFill="1" applyAlignment="1">
      <alignment horizontal="center" vertical="center"/>
    </xf>
    <xf numFmtId="169" fontId="15" fillId="10" borderId="9" xfId="10" applyNumberFormat="1" applyFont="1" applyFill="1" applyBorder="1">
      <alignment horizontal="center" vertical="center"/>
    </xf>
    <xf numFmtId="169" fontId="15" fillId="3" borderId="6" xfId="10" applyNumberFormat="1" applyFont="1" applyFill="1" applyBorder="1">
      <alignment horizontal="center" vertical="center"/>
    </xf>
    <xf numFmtId="169" fontId="15" fillId="3" borderId="7" xfId="10" applyNumberFormat="1" applyFont="1" applyFill="1" applyBorder="1">
      <alignment horizontal="center" vertical="center"/>
    </xf>
    <xf numFmtId="0" fontId="26" fillId="13" borderId="0" xfId="13"/>
    <xf numFmtId="0" fontId="26" fillId="13" borderId="7" xfId="13" applyBorder="1" applyAlignment="1">
      <alignment horizontal="left" vertical="center" indent="2"/>
    </xf>
    <xf numFmtId="9" fontId="26" fillId="13" borderId="7" xfId="13" applyNumberFormat="1" applyBorder="1" applyAlignment="1">
      <alignment horizontal="center" vertical="center"/>
    </xf>
    <xf numFmtId="169" fontId="26" fillId="13" borderId="7" xfId="13" applyNumberFormat="1" applyBorder="1" applyAlignment="1">
      <alignment horizontal="center" vertical="center"/>
    </xf>
    <xf numFmtId="0" fontId="26" fillId="13" borderId="0" xfId="13" applyAlignment="1">
      <alignment horizontal="center" vertical="center"/>
    </xf>
    <xf numFmtId="0" fontId="26" fillId="13" borderId="1" xfId="13" applyBorder="1" applyAlignment="1">
      <alignment horizontal="center" vertical="center"/>
    </xf>
    <xf numFmtId="0" fontId="26" fillId="13" borderId="4" xfId="13" applyBorder="1" applyAlignment="1">
      <alignment vertical="center"/>
    </xf>
    <xf numFmtId="0" fontId="26" fillId="13" borderId="0" xfId="13" applyAlignment="1">
      <alignment vertical="center"/>
    </xf>
    <xf numFmtId="0" fontId="26" fillId="13" borderId="4" xfId="13" applyBorder="1" applyAlignment="1">
      <alignment horizontal="right" vertical="center"/>
    </xf>
    <xf numFmtId="0" fontId="26" fillId="13" borderId="0" xfId="13" applyBorder="1" applyAlignment="1">
      <alignment horizontal="left" vertical="center" indent="2"/>
    </xf>
    <xf numFmtId="9" fontId="26" fillId="13" borderId="0" xfId="13" applyNumberFormat="1" applyBorder="1" applyAlignment="1">
      <alignment horizontal="center" vertical="center"/>
    </xf>
    <xf numFmtId="169" fontId="26" fillId="13" borderId="0" xfId="13" applyNumberFormat="1" applyBorder="1" applyAlignment="1">
      <alignment horizontal="center" vertical="center"/>
    </xf>
    <xf numFmtId="0" fontId="26" fillId="13" borderId="0" xfId="13" applyBorder="1" applyAlignment="1">
      <alignment vertical="center"/>
    </xf>
    <xf numFmtId="0" fontId="26" fillId="13" borderId="0" xfId="13" applyBorder="1" applyAlignment="1">
      <alignment horizontal="right" vertical="center"/>
    </xf>
    <xf numFmtId="0" fontId="27" fillId="0" borderId="0" xfId="0" applyFont="1" applyAlignment="1">
      <alignment horizontal="left" indent="1"/>
    </xf>
    <xf numFmtId="0" fontId="2" fillId="0" borderId="0" xfId="1" applyAlignment="1" applyProtection="1">
      <alignment horizontal="left" vertical="top" indent="1"/>
    </xf>
    <xf numFmtId="0" fontId="11"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horizontal="center" vertical="center"/>
    </xf>
    <xf numFmtId="0" fontId="4" fillId="2" borderId="21" xfId="0" applyFont="1" applyFill="1" applyBorder="1"/>
    <xf numFmtId="0" fontId="21" fillId="0" borderId="0" xfId="0" applyFont="1" applyAlignment="1">
      <alignment horizontal="left"/>
    </xf>
    <xf numFmtId="0" fontId="22" fillId="0" borderId="0" xfId="0" applyFont="1"/>
    <xf numFmtId="166" fontId="21" fillId="0" borderId="0" xfId="9" applyFont="1" applyBorder="1" applyAlignment="1">
      <alignment horizontal="left"/>
    </xf>
    <xf numFmtId="0" fontId="20" fillId="0" borderId="0" xfId="8" applyFont="1" applyAlignment="1">
      <alignment horizontal="left"/>
    </xf>
    <xf numFmtId="0" fontId="4" fillId="0" borderId="0" xfId="0" applyFont="1"/>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cellXfs>
  <cellStyles count="14">
    <cellStyle name="Bad" xfId="13" builtinId="27"/>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1"/>
  <sheetViews>
    <sheetView showGridLines="0" tabSelected="1" showRuler="0" topLeftCell="A25" zoomScale="99" zoomScaleNormal="99" zoomScalePageLayoutView="70" workbookViewId="0">
      <selection activeCell="K41" sqref="K41"/>
    </sheetView>
  </sheetViews>
  <sheetFormatPr defaultColWidth="8.75" defaultRowHeight="30" customHeight="1" x14ac:dyDescent="0.2"/>
  <cols>
    <col min="1" max="1" width="2.75" style="11" customWidth="1"/>
    <col min="2" max="2" width="26.875" customWidth="1"/>
    <col min="3" max="3" width="10.75" customWidth="1"/>
    <col min="4" max="4" width="10.75" style="2" customWidth="1"/>
    <col min="5" max="5" width="10.75" customWidth="1"/>
    <col min="6" max="6" width="2.75" customWidth="1"/>
    <col min="7" max="7" width="6" hidden="1" customWidth="1"/>
    <col min="8" max="64" width="2.75" customWidth="1"/>
  </cols>
  <sheetData>
    <row r="1" spans="1:63" ht="90" customHeight="1" x14ac:dyDescent="1.1000000000000001">
      <c r="A1" s="72"/>
      <c r="B1" s="64" t="s">
        <v>21</v>
      </c>
      <c r="C1" s="14"/>
      <c r="D1" s="15"/>
      <c r="E1" s="16"/>
      <c r="G1" s="1"/>
      <c r="H1" s="106" t="s">
        <v>0</v>
      </c>
      <c r="I1" s="107"/>
      <c r="J1" s="107"/>
      <c r="K1" s="107"/>
      <c r="L1" s="107"/>
      <c r="M1" s="107"/>
      <c r="N1" s="107"/>
      <c r="O1" s="19"/>
      <c r="P1" s="105">
        <v>46286</v>
      </c>
      <c r="Q1" s="104"/>
      <c r="R1" s="104"/>
      <c r="S1" s="104"/>
      <c r="T1" s="104"/>
      <c r="U1" s="104"/>
      <c r="V1" s="104"/>
      <c r="W1" s="104"/>
      <c r="X1" s="104"/>
      <c r="Y1" s="104"/>
    </row>
    <row r="2" spans="1:63" ht="30" customHeight="1" x14ac:dyDescent="0.5">
      <c r="B2" s="63" t="s">
        <v>30</v>
      </c>
      <c r="C2" s="17"/>
      <c r="D2" s="18"/>
      <c r="E2" s="17"/>
      <c r="H2" s="106" t="s">
        <v>1</v>
      </c>
      <c r="I2" s="107"/>
      <c r="J2" s="107"/>
      <c r="K2" s="107"/>
      <c r="L2" s="107"/>
      <c r="M2" s="107"/>
      <c r="N2" s="107"/>
      <c r="O2" s="19"/>
      <c r="P2" s="103">
        <v>4</v>
      </c>
      <c r="Q2" s="104"/>
      <c r="R2" s="104"/>
      <c r="S2" s="104"/>
      <c r="T2" s="104"/>
      <c r="U2" s="104"/>
      <c r="V2" s="104"/>
      <c r="W2" s="104"/>
      <c r="X2" s="104"/>
      <c r="Y2" s="104"/>
    </row>
    <row r="3" spans="1:63" s="20" customFormat="1" ht="30" customHeight="1" x14ac:dyDescent="0.25">
      <c r="A3" s="11"/>
      <c r="B3" s="96" t="s">
        <v>2</v>
      </c>
      <c r="C3" s="21"/>
      <c r="D3" s="22"/>
    </row>
    <row r="4" spans="1:63" s="20" customFormat="1" ht="30" customHeight="1" x14ac:dyDescent="0.2">
      <c r="A4" s="72"/>
      <c r="B4" s="97"/>
      <c r="D4" s="23"/>
      <c r="H4" s="110">
        <f>H5</f>
        <v>46307</v>
      </c>
      <c r="I4" s="108"/>
      <c r="J4" s="108"/>
      <c r="K4" s="108"/>
      <c r="L4" s="108"/>
      <c r="M4" s="108"/>
      <c r="N4" s="108"/>
      <c r="O4" s="108">
        <f>O5</f>
        <v>46314</v>
      </c>
      <c r="P4" s="108"/>
      <c r="Q4" s="108"/>
      <c r="R4" s="108"/>
      <c r="S4" s="108"/>
      <c r="T4" s="108"/>
      <c r="U4" s="108"/>
      <c r="V4" s="108">
        <f>V5</f>
        <v>46321</v>
      </c>
      <c r="W4" s="108"/>
      <c r="X4" s="108"/>
      <c r="Y4" s="108"/>
      <c r="Z4" s="108"/>
      <c r="AA4" s="108"/>
      <c r="AB4" s="108"/>
      <c r="AC4" s="108">
        <f>AC5</f>
        <v>46328</v>
      </c>
      <c r="AD4" s="108"/>
      <c r="AE4" s="108"/>
      <c r="AF4" s="108"/>
      <c r="AG4" s="108"/>
      <c r="AH4" s="108"/>
      <c r="AI4" s="108"/>
      <c r="AJ4" s="108">
        <f>AJ5</f>
        <v>46335</v>
      </c>
      <c r="AK4" s="108"/>
      <c r="AL4" s="108"/>
      <c r="AM4" s="108"/>
      <c r="AN4" s="108"/>
      <c r="AO4" s="108"/>
      <c r="AP4" s="108"/>
      <c r="AQ4" s="108">
        <f>AQ5</f>
        <v>46342</v>
      </c>
      <c r="AR4" s="108"/>
      <c r="AS4" s="108"/>
      <c r="AT4" s="108"/>
      <c r="AU4" s="108"/>
      <c r="AV4" s="108"/>
      <c r="AW4" s="108"/>
      <c r="AX4" s="108">
        <f>AX5</f>
        <v>46349</v>
      </c>
      <c r="AY4" s="108"/>
      <c r="AZ4" s="108"/>
      <c r="BA4" s="108"/>
      <c r="BB4" s="108"/>
      <c r="BC4" s="108"/>
      <c r="BD4" s="108"/>
      <c r="BE4" s="108">
        <f>BE5</f>
        <v>46356</v>
      </c>
      <c r="BF4" s="108"/>
      <c r="BG4" s="108"/>
      <c r="BH4" s="108"/>
      <c r="BI4" s="108"/>
      <c r="BJ4" s="108"/>
      <c r="BK4" s="109"/>
    </row>
    <row r="5" spans="1:63" s="20" customFormat="1" ht="15" customHeight="1" x14ac:dyDescent="0.2">
      <c r="A5" s="98"/>
      <c r="B5" s="99" t="s">
        <v>3</v>
      </c>
      <c r="C5" s="101" t="s">
        <v>4</v>
      </c>
      <c r="D5" s="101" t="s">
        <v>5</v>
      </c>
      <c r="E5" s="101" t="s">
        <v>6</v>
      </c>
      <c r="H5" s="24">
        <f>Project_Start-WEEKDAY(Project_Start,1)+2+7*(Display_Week-1)</f>
        <v>46307</v>
      </c>
      <c r="I5" s="24">
        <f>H5+1</f>
        <v>46308</v>
      </c>
      <c r="J5" s="24">
        <f t="shared" ref="J5:AW5" si="0">I5+1</f>
        <v>46309</v>
      </c>
      <c r="K5" s="24">
        <f t="shared" si="0"/>
        <v>46310</v>
      </c>
      <c r="L5" s="24">
        <f t="shared" si="0"/>
        <v>46311</v>
      </c>
      <c r="M5" s="24">
        <f t="shared" si="0"/>
        <v>46312</v>
      </c>
      <c r="N5" s="25">
        <f t="shared" si="0"/>
        <v>46313</v>
      </c>
      <c r="O5" s="26">
        <f>N5+1</f>
        <v>46314</v>
      </c>
      <c r="P5" s="24">
        <f>O5+1</f>
        <v>46315</v>
      </c>
      <c r="Q5" s="24">
        <f t="shared" si="0"/>
        <v>46316</v>
      </c>
      <c r="R5" s="24">
        <f t="shared" si="0"/>
        <v>46317</v>
      </c>
      <c r="S5" s="24">
        <f t="shared" si="0"/>
        <v>46318</v>
      </c>
      <c r="T5" s="24">
        <f t="shared" si="0"/>
        <v>46319</v>
      </c>
      <c r="U5" s="25">
        <f t="shared" si="0"/>
        <v>46320</v>
      </c>
      <c r="V5" s="26">
        <f>U5+1</f>
        <v>46321</v>
      </c>
      <c r="W5" s="24">
        <f>V5+1</f>
        <v>46322</v>
      </c>
      <c r="X5" s="24">
        <f t="shared" si="0"/>
        <v>46323</v>
      </c>
      <c r="Y5" s="24">
        <f t="shared" si="0"/>
        <v>46324</v>
      </c>
      <c r="Z5" s="24">
        <f t="shared" si="0"/>
        <v>46325</v>
      </c>
      <c r="AA5" s="24">
        <f t="shared" si="0"/>
        <v>46326</v>
      </c>
      <c r="AB5" s="25">
        <f t="shared" si="0"/>
        <v>46327</v>
      </c>
      <c r="AC5" s="26">
        <f>AB5+1</f>
        <v>46328</v>
      </c>
      <c r="AD5" s="24">
        <f>AC5+1</f>
        <v>46329</v>
      </c>
      <c r="AE5" s="24">
        <f t="shared" si="0"/>
        <v>46330</v>
      </c>
      <c r="AF5" s="24">
        <f t="shared" si="0"/>
        <v>46331</v>
      </c>
      <c r="AG5" s="24">
        <f t="shared" si="0"/>
        <v>46332</v>
      </c>
      <c r="AH5" s="24">
        <f t="shared" si="0"/>
        <v>46333</v>
      </c>
      <c r="AI5" s="25">
        <f t="shared" si="0"/>
        <v>46334</v>
      </c>
      <c r="AJ5" s="26">
        <f>AI5+1</f>
        <v>46335</v>
      </c>
      <c r="AK5" s="24">
        <f>AJ5+1</f>
        <v>46336</v>
      </c>
      <c r="AL5" s="24">
        <f t="shared" si="0"/>
        <v>46337</v>
      </c>
      <c r="AM5" s="24">
        <f t="shared" si="0"/>
        <v>46338</v>
      </c>
      <c r="AN5" s="24">
        <f t="shared" si="0"/>
        <v>46339</v>
      </c>
      <c r="AO5" s="24">
        <f t="shared" si="0"/>
        <v>46340</v>
      </c>
      <c r="AP5" s="25">
        <f t="shared" si="0"/>
        <v>46341</v>
      </c>
      <c r="AQ5" s="26">
        <f>AP5+1</f>
        <v>46342</v>
      </c>
      <c r="AR5" s="24">
        <f>AQ5+1</f>
        <v>46343</v>
      </c>
      <c r="AS5" s="24">
        <f t="shared" si="0"/>
        <v>46344</v>
      </c>
      <c r="AT5" s="24">
        <f t="shared" si="0"/>
        <v>46345</v>
      </c>
      <c r="AU5" s="24">
        <f t="shared" si="0"/>
        <v>46346</v>
      </c>
      <c r="AV5" s="24">
        <f t="shared" si="0"/>
        <v>46347</v>
      </c>
      <c r="AW5" s="25">
        <f t="shared" si="0"/>
        <v>46348</v>
      </c>
      <c r="AX5" s="26">
        <f>AW5+1</f>
        <v>46349</v>
      </c>
      <c r="AY5" s="24">
        <f>AX5+1</f>
        <v>46350</v>
      </c>
      <c r="AZ5" s="24">
        <f t="shared" ref="AZ5:BD5" si="1">AY5+1</f>
        <v>46351</v>
      </c>
      <c r="BA5" s="24">
        <f t="shared" si="1"/>
        <v>46352</v>
      </c>
      <c r="BB5" s="24">
        <f t="shared" si="1"/>
        <v>46353</v>
      </c>
      <c r="BC5" s="24">
        <f t="shared" si="1"/>
        <v>46354</v>
      </c>
      <c r="BD5" s="25">
        <f t="shared" si="1"/>
        <v>46355</v>
      </c>
      <c r="BE5" s="26">
        <f>BD5+1</f>
        <v>46356</v>
      </c>
      <c r="BF5" s="24">
        <f>BE5+1</f>
        <v>46357</v>
      </c>
      <c r="BG5" s="24">
        <f t="shared" ref="BG5:BK5" si="2">BF5+1</f>
        <v>46358</v>
      </c>
      <c r="BH5" s="24">
        <f t="shared" si="2"/>
        <v>46359</v>
      </c>
      <c r="BI5" s="24">
        <f t="shared" si="2"/>
        <v>46360</v>
      </c>
      <c r="BJ5" s="24">
        <f t="shared" si="2"/>
        <v>46361</v>
      </c>
      <c r="BK5" s="24">
        <f t="shared" si="2"/>
        <v>46362</v>
      </c>
    </row>
    <row r="6" spans="1:63" s="20" customFormat="1" ht="15" customHeight="1" thickBot="1" x14ac:dyDescent="0.25">
      <c r="A6" s="98"/>
      <c r="B6" s="100"/>
      <c r="C6" s="102"/>
      <c r="D6" s="102"/>
      <c r="E6" s="102"/>
      <c r="H6" s="27" t="str">
        <f t="shared" ref="H6:AM6" si="3">LEFT(TEXT(H5,"ddd"),1)</f>
        <v>M</v>
      </c>
      <c r="I6" s="28" t="str">
        <f t="shared" si="3"/>
        <v>T</v>
      </c>
      <c r="J6" s="28" t="str">
        <f t="shared" si="3"/>
        <v>W</v>
      </c>
      <c r="K6" s="28" t="str">
        <f t="shared" si="3"/>
        <v>T</v>
      </c>
      <c r="L6" s="28" t="str">
        <f t="shared" si="3"/>
        <v>F</v>
      </c>
      <c r="M6" s="28" t="str">
        <f t="shared" si="3"/>
        <v>S</v>
      </c>
      <c r="N6" s="28" t="str">
        <f t="shared" si="3"/>
        <v>S</v>
      </c>
      <c r="O6" s="28" t="str">
        <f t="shared" si="3"/>
        <v>M</v>
      </c>
      <c r="P6" s="28" t="str">
        <f t="shared" si="3"/>
        <v>T</v>
      </c>
      <c r="Q6" s="28" t="str">
        <f t="shared" si="3"/>
        <v>W</v>
      </c>
      <c r="R6" s="28" t="str">
        <f t="shared" si="3"/>
        <v>T</v>
      </c>
      <c r="S6" s="28" t="str">
        <f t="shared" si="3"/>
        <v>F</v>
      </c>
      <c r="T6" s="28" t="str">
        <f t="shared" si="3"/>
        <v>S</v>
      </c>
      <c r="U6" s="28" t="str">
        <f t="shared" si="3"/>
        <v>S</v>
      </c>
      <c r="V6" s="28" t="str">
        <f t="shared" si="3"/>
        <v>M</v>
      </c>
      <c r="W6" s="28" t="str">
        <f t="shared" si="3"/>
        <v>T</v>
      </c>
      <c r="X6" s="28" t="str">
        <f t="shared" si="3"/>
        <v>W</v>
      </c>
      <c r="Y6" s="28" t="str">
        <f t="shared" si="3"/>
        <v>T</v>
      </c>
      <c r="Z6" s="28" t="str">
        <f t="shared" si="3"/>
        <v>F</v>
      </c>
      <c r="AA6" s="28" t="str">
        <f t="shared" si="3"/>
        <v>S</v>
      </c>
      <c r="AB6" s="28" t="str">
        <f t="shared" si="3"/>
        <v>S</v>
      </c>
      <c r="AC6" s="28" t="str">
        <f t="shared" si="3"/>
        <v>M</v>
      </c>
      <c r="AD6" s="28" t="str">
        <f t="shared" si="3"/>
        <v>T</v>
      </c>
      <c r="AE6" s="28" t="str">
        <f t="shared" si="3"/>
        <v>W</v>
      </c>
      <c r="AF6" s="28" t="str">
        <f t="shared" si="3"/>
        <v>T</v>
      </c>
      <c r="AG6" s="28" t="str">
        <f t="shared" si="3"/>
        <v>F</v>
      </c>
      <c r="AH6" s="28" t="str">
        <f t="shared" si="3"/>
        <v>S</v>
      </c>
      <c r="AI6" s="28" t="str">
        <f t="shared" si="3"/>
        <v>S</v>
      </c>
      <c r="AJ6" s="28" t="str">
        <f t="shared" si="3"/>
        <v>M</v>
      </c>
      <c r="AK6" s="28" t="str">
        <f t="shared" si="3"/>
        <v>T</v>
      </c>
      <c r="AL6" s="28" t="str">
        <f t="shared" si="3"/>
        <v>W</v>
      </c>
      <c r="AM6" s="28" t="str">
        <f t="shared" si="3"/>
        <v>T</v>
      </c>
      <c r="AN6" s="28" t="str">
        <f t="shared" ref="AN6:BK6" si="4">LEFT(TEXT(AN5,"ddd"),1)</f>
        <v>F</v>
      </c>
      <c r="AO6" s="28" t="str">
        <f t="shared" si="4"/>
        <v>S</v>
      </c>
      <c r="AP6" s="28" t="str">
        <f t="shared" si="4"/>
        <v>S</v>
      </c>
      <c r="AQ6" s="28" t="str">
        <f t="shared" si="4"/>
        <v>M</v>
      </c>
      <c r="AR6" s="28" t="str">
        <f t="shared" si="4"/>
        <v>T</v>
      </c>
      <c r="AS6" s="28" t="str">
        <f t="shared" si="4"/>
        <v>W</v>
      </c>
      <c r="AT6" s="28" t="str">
        <f t="shared" si="4"/>
        <v>T</v>
      </c>
      <c r="AU6" s="28" t="str">
        <f t="shared" si="4"/>
        <v>F</v>
      </c>
      <c r="AV6" s="28" t="str">
        <f t="shared" si="4"/>
        <v>S</v>
      </c>
      <c r="AW6" s="28" t="str">
        <f t="shared" si="4"/>
        <v>S</v>
      </c>
      <c r="AX6" s="28" t="str">
        <f t="shared" si="4"/>
        <v>M</v>
      </c>
      <c r="AY6" s="28" t="str">
        <f t="shared" si="4"/>
        <v>T</v>
      </c>
      <c r="AZ6" s="28" t="str">
        <f t="shared" si="4"/>
        <v>W</v>
      </c>
      <c r="BA6" s="28" t="str">
        <f t="shared" si="4"/>
        <v>T</v>
      </c>
      <c r="BB6" s="28" t="str">
        <f t="shared" si="4"/>
        <v>F</v>
      </c>
      <c r="BC6" s="28" t="str">
        <f t="shared" si="4"/>
        <v>S</v>
      </c>
      <c r="BD6" s="28" t="str">
        <f t="shared" si="4"/>
        <v>S</v>
      </c>
      <c r="BE6" s="28" t="str">
        <f t="shared" si="4"/>
        <v>M</v>
      </c>
      <c r="BF6" s="28" t="str">
        <f t="shared" si="4"/>
        <v>T</v>
      </c>
      <c r="BG6" s="28" t="str">
        <f t="shared" si="4"/>
        <v>W</v>
      </c>
      <c r="BH6" s="28" t="str">
        <f t="shared" si="4"/>
        <v>T</v>
      </c>
      <c r="BI6" s="28" t="str">
        <f t="shared" si="4"/>
        <v>F</v>
      </c>
      <c r="BJ6" s="28" t="str">
        <f t="shared" si="4"/>
        <v>S</v>
      </c>
      <c r="BK6" s="29" t="str">
        <f t="shared" si="4"/>
        <v>S</v>
      </c>
    </row>
    <row r="7" spans="1:63" s="20" customFormat="1" ht="30" hidden="1" customHeight="1" thickBot="1" x14ac:dyDescent="0.25">
      <c r="A7" s="11" t="s">
        <v>7</v>
      </c>
      <c r="B7" s="30"/>
      <c r="C7" s="30"/>
      <c r="D7" s="30"/>
      <c r="E7" s="30"/>
      <c r="G7" s="20" t="str">
        <f>IF(OR(ISBLANK(task_start),ISBLANK(task_end)),"",task_end-task_start+1)</f>
        <v/>
      </c>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row>
    <row r="8" spans="1:63" s="37" customFormat="1" ht="30" customHeight="1" thickBot="1" x14ac:dyDescent="0.25">
      <c r="A8" s="72"/>
      <c r="B8" s="32" t="s">
        <v>38</v>
      </c>
      <c r="C8" s="33"/>
      <c r="D8" s="34"/>
      <c r="E8" s="35"/>
      <c r="F8" s="13"/>
      <c r="G8" s="4" t="str">
        <f t="shared" ref="G8:G39" si="5">IF(OR(ISBLANK(task_start),ISBLANK(task_end)),"",task_end-task_start+1)</f>
        <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row>
    <row r="9" spans="1:63" s="37" customFormat="1" ht="30" customHeight="1" thickBot="1" x14ac:dyDescent="0.25">
      <c r="A9" s="72"/>
      <c r="B9" s="38" t="s">
        <v>27</v>
      </c>
      <c r="C9" s="39">
        <v>1</v>
      </c>
      <c r="D9" s="80">
        <f>Project_Start</f>
        <v>46286</v>
      </c>
      <c r="E9" s="80">
        <v>46309</v>
      </c>
      <c r="F9" s="13"/>
      <c r="G9" s="4">
        <f t="shared" si="5"/>
        <v>24</v>
      </c>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row>
    <row r="10" spans="1:63" s="37" customFormat="1" ht="30" customHeight="1" thickBot="1" x14ac:dyDescent="0.25">
      <c r="A10" s="72"/>
      <c r="B10" s="41" t="s">
        <v>43</v>
      </c>
      <c r="C10" s="42">
        <v>0.8</v>
      </c>
      <c r="D10" s="81">
        <v>46286</v>
      </c>
      <c r="E10" s="81">
        <v>46309</v>
      </c>
      <c r="F10" s="13"/>
      <c r="G10" s="4">
        <f t="shared" si="5"/>
        <v>24</v>
      </c>
      <c r="H10" s="40"/>
      <c r="I10" s="40"/>
      <c r="J10" s="40"/>
      <c r="K10" s="40"/>
      <c r="L10" s="40"/>
      <c r="M10" s="40"/>
      <c r="N10" s="40"/>
      <c r="O10" s="40"/>
      <c r="P10" s="40"/>
      <c r="Q10" s="40"/>
      <c r="R10" s="40"/>
      <c r="S10" s="40"/>
      <c r="T10" s="43"/>
      <c r="U10" s="43"/>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row>
    <row r="11" spans="1:63" s="37" customFormat="1" ht="30" customHeight="1" thickBot="1" x14ac:dyDescent="0.25">
      <c r="A11" s="72"/>
      <c r="B11" s="41" t="s">
        <v>37</v>
      </c>
      <c r="C11" s="42">
        <v>0</v>
      </c>
      <c r="D11" s="81">
        <v>46309</v>
      </c>
      <c r="E11" s="81">
        <v>46309</v>
      </c>
      <c r="F11" s="13"/>
      <c r="G11" s="4"/>
      <c r="H11" s="40"/>
      <c r="I11" s="40"/>
      <c r="J11" s="40"/>
      <c r="K11" s="40"/>
      <c r="L11" s="40"/>
      <c r="M11" s="40"/>
      <c r="N11" s="40"/>
      <c r="O11" s="40"/>
      <c r="P11" s="40"/>
      <c r="Q11" s="40"/>
      <c r="R11" s="40"/>
      <c r="S11" s="40"/>
      <c r="T11" s="43"/>
      <c r="U11" s="43"/>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row>
    <row r="12" spans="1:63" s="37" customFormat="1" ht="30" customHeight="1" thickBot="1" x14ac:dyDescent="0.25">
      <c r="A12" s="72"/>
      <c r="B12" s="41" t="s">
        <v>49</v>
      </c>
      <c r="C12" s="42">
        <v>0.6</v>
      </c>
      <c r="D12" s="81">
        <v>46307</v>
      </c>
      <c r="E12" s="81">
        <v>46309</v>
      </c>
      <c r="F12" s="13"/>
      <c r="G12" s="4"/>
      <c r="H12" s="40"/>
      <c r="I12" s="40"/>
      <c r="J12" s="40"/>
      <c r="K12" s="40"/>
      <c r="L12" s="40"/>
      <c r="M12" s="40"/>
      <c r="N12" s="40"/>
      <c r="O12" s="40"/>
      <c r="P12" s="40"/>
      <c r="Q12" s="40"/>
      <c r="R12" s="40"/>
      <c r="S12" s="40"/>
      <c r="T12" s="43"/>
      <c r="U12" s="43"/>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row>
    <row r="13" spans="1:63" s="37" customFormat="1" ht="30" customHeight="1" thickBot="1" x14ac:dyDescent="0.25">
      <c r="A13" s="72"/>
      <c r="B13" s="41" t="s">
        <v>42</v>
      </c>
      <c r="C13" s="42">
        <v>0.4</v>
      </c>
      <c r="D13" s="81">
        <v>46309</v>
      </c>
      <c r="E13" s="81">
        <v>46327</v>
      </c>
      <c r="F13" s="13"/>
      <c r="G13" s="4"/>
      <c r="H13" s="40"/>
      <c r="I13" s="40"/>
      <c r="J13" s="40"/>
      <c r="K13" s="40"/>
      <c r="L13" s="40"/>
      <c r="M13" s="40"/>
      <c r="N13" s="40"/>
      <c r="O13" s="40"/>
      <c r="P13" s="40"/>
      <c r="Q13" s="40"/>
      <c r="R13" s="40"/>
      <c r="S13" s="40"/>
      <c r="T13" s="43"/>
      <c r="U13" s="43"/>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row>
    <row r="14" spans="1:63" s="37" customFormat="1" ht="30" customHeight="1" thickBot="1" x14ac:dyDescent="0.25">
      <c r="A14" s="72"/>
      <c r="B14" s="41" t="s">
        <v>36</v>
      </c>
      <c r="C14" s="42">
        <v>0.5</v>
      </c>
      <c r="D14" s="81">
        <v>46300</v>
      </c>
      <c r="E14" s="81">
        <v>46327</v>
      </c>
      <c r="F14" s="13"/>
      <c r="G14" s="4"/>
      <c r="H14" s="40"/>
      <c r="I14" s="40"/>
      <c r="J14" s="40"/>
      <c r="K14" s="40"/>
      <c r="L14" s="40"/>
      <c r="M14" s="40"/>
      <c r="N14" s="40"/>
      <c r="O14" s="40"/>
      <c r="P14" s="40"/>
      <c r="Q14" s="40"/>
      <c r="R14" s="40"/>
      <c r="S14" s="40"/>
      <c r="T14" s="43"/>
      <c r="U14" s="43"/>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row>
    <row r="15" spans="1:63" s="89" customFormat="1" ht="30" customHeight="1" thickBot="1" x14ac:dyDescent="0.25">
      <c r="A15" s="82"/>
      <c r="B15" s="83" t="s">
        <v>26</v>
      </c>
      <c r="C15" s="84">
        <v>0.1</v>
      </c>
      <c r="D15" s="85">
        <v>46324</v>
      </c>
      <c r="E15" s="85">
        <v>46327</v>
      </c>
      <c r="F15" s="86"/>
      <c r="G15" s="87">
        <f t="shared" si="5"/>
        <v>4</v>
      </c>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row>
    <row r="16" spans="1:63" s="37" customFormat="1" ht="30" customHeight="1" thickBot="1" x14ac:dyDescent="0.25">
      <c r="A16" s="11"/>
      <c r="B16" s="41" t="s">
        <v>50</v>
      </c>
      <c r="C16" s="42">
        <v>0</v>
      </c>
      <c r="D16" s="81">
        <v>46327</v>
      </c>
      <c r="E16" s="81">
        <v>46370</v>
      </c>
      <c r="F16" s="13"/>
      <c r="G16" s="4">
        <f t="shared" si="5"/>
        <v>44</v>
      </c>
      <c r="H16" s="40"/>
      <c r="I16" s="40"/>
      <c r="J16" s="40"/>
      <c r="K16" s="40"/>
      <c r="L16" s="40"/>
      <c r="M16" s="40"/>
      <c r="N16" s="40"/>
      <c r="O16" s="40"/>
      <c r="P16" s="40"/>
      <c r="Q16" s="40"/>
      <c r="R16" s="40"/>
      <c r="S16" s="40"/>
      <c r="T16" s="40"/>
      <c r="U16" s="40"/>
      <c r="V16" s="40"/>
      <c r="W16" s="40"/>
      <c r="X16" s="43"/>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row>
    <row r="17" spans="1:63" s="37" customFormat="1" ht="30" customHeight="1" thickBot="1" x14ac:dyDescent="0.25">
      <c r="A17" s="11"/>
      <c r="B17" s="41" t="s">
        <v>39</v>
      </c>
      <c r="C17" s="42">
        <v>0</v>
      </c>
      <c r="D17" s="81">
        <v>46327</v>
      </c>
      <c r="E17" s="81">
        <v>46334</v>
      </c>
      <c r="F17" s="13"/>
      <c r="G17" s="4"/>
      <c r="H17" s="40"/>
      <c r="I17" s="40"/>
      <c r="J17" s="40"/>
      <c r="K17" s="40"/>
      <c r="L17" s="40"/>
      <c r="M17" s="40"/>
      <c r="N17" s="40"/>
      <c r="O17" s="40"/>
      <c r="P17" s="40"/>
      <c r="Q17" s="40"/>
      <c r="R17" s="40"/>
      <c r="S17" s="40"/>
      <c r="T17" s="40"/>
      <c r="U17" s="40"/>
      <c r="V17" s="40"/>
      <c r="W17" s="40"/>
      <c r="X17" s="43"/>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row>
    <row r="18" spans="1:63" s="37" customFormat="1" ht="30" customHeight="1" thickBot="1" x14ac:dyDescent="0.25">
      <c r="A18" s="11"/>
      <c r="B18" s="41" t="s">
        <v>33</v>
      </c>
      <c r="C18" s="42">
        <v>0</v>
      </c>
      <c r="D18" s="81">
        <v>46340</v>
      </c>
      <c r="E18" s="81">
        <v>46348</v>
      </c>
      <c r="F18" s="13"/>
      <c r="G18" s="4"/>
      <c r="H18" s="40"/>
      <c r="I18" s="40"/>
      <c r="J18" s="40"/>
      <c r="K18" s="40"/>
      <c r="L18" s="40"/>
      <c r="M18" s="40"/>
      <c r="N18" s="40"/>
      <c r="O18" s="40"/>
      <c r="P18" s="40"/>
      <c r="Q18" s="40"/>
      <c r="R18" s="40"/>
      <c r="S18" s="40"/>
      <c r="T18" s="40"/>
      <c r="U18" s="40"/>
      <c r="V18" s="40"/>
      <c r="W18" s="40"/>
      <c r="X18" s="43"/>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row>
    <row r="19" spans="1:63" s="37" customFormat="1" ht="30" customHeight="1" thickBot="1" x14ac:dyDescent="0.25">
      <c r="A19" s="11"/>
      <c r="B19" s="41" t="s">
        <v>40</v>
      </c>
      <c r="C19" s="42">
        <v>0</v>
      </c>
      <c r="D19" s="81">
        <v>46348</v>
      </c>
      <c r="E19" s="81">
        <v>46355</v>
      </c>
      <c r="F19" s="13"/>
      <c r="G19" s="4"/>
      <c r="H19" s="40"/>
      <c r="I19" s="40"/>
      <c r="J19" s="40"/>
      <c r="K19" s="40"/>
      <c r="L19" s="40"/>
      <c r="M19" s="40"/>
      <c r="N19" s="40"/>
      <c r="O19" s="40"/>
      <c r="P19" s="40"/>
      <c r="Q19" s="40"/>
      <c r="R19" s="40"/>
      <c r="S19" s="40"/>
      <c r="T19" s="40"/>
      <c r="U19" s="40"/>
      <c r="V19" s="40"/>
      <c r="W19" s="40"/>
      <c r="X19" s="43"/>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row>
    <row r="20" spans="1:63" s="89" customFormat="1" ht="30" customHeight="1" thickBot="1" x14ac:dyDescent="0.25">
      <c r="A20" s="82"/>
      <c r="B20" s="83" t="s">
        <v>32</v>
      </c>
      <c r="C20" s="84">
        <v>0</v>
      </c>
      <c r="D20" s="85">
        <v>46371</v>
      </c>
      <c r="E20" s="85">
        <v>46374</v>
      </c>
      <c r="F20" s="86"/>
      <c r="G20" s="87"/>
      <c r="H20" s="88"/>
      <c r="I20" s="88"/>
      <c r="J20" s="88"/>
      <c r="K20" s="88"/>
      <c r="L20" s="88"/>
      <c r="M20" s="88"/>
      <c r="N20" s="88"/>
      <c r="O20" s="88"/>
      <c r="P20" s="88"/>
      <c r="Q20" s="88"/>
      <c r="R20" s="88"/>
      <c r="S20" s="88"/>
      <c r="T20" s="88"/>
      <c r="U20" s="88"/>
      <c r="V20" s="88"/>
      <c r="W20" s="88"/>
      <c r="X20" s="90"/>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row>
    <row r="21" spans="1:63" s="37" customFormat="1" ht="30" customHeight="1" thickBot="1" x14ac:dyDescent="0.25">
      <c r="A21" s="11"/>
      <c r="B21" s="41" t="s">
        <v>31</v>
      </c>
      <c r="C21" s="42">
        <v>0</v>
      </c>
      <c r="D21" s="81">
        <v>46374</v>
      </c>
      <c r="E21" s="81">
        <v>46416</v>
      </c>
      <c r="F21" s="13"/>
      <c r="G21" s="4">
        <f t="shared" si="5"/>
        <v>43</v>
      </c>
      <c r="H21" s="40"/>
      <c r="I21" s="40"/>
      <c r="J21" s="40"/>
      <c r="K21" s="40"/>
      <c r="L21" s="40"/>
      <c r="M21" s="40"/>
      <c r="N21" s="40"/>
      <c r="O21" s="40"/>
      <c r="P21" s="40"/>
      <c r="Q21" s="40"/>
      <c r="R21" s="40"/>
      <c r="S21" s="40"/>
      <c r="T21" s="40"/>
      <c r="U21" s="40"/>
      <c r="V21" s="40"/>
      <c r="W21" s="40"/>
      <c r="X21" s="43"/>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row>
    <row r="22" spans="1:63" s="89" customFormat="1" ht="30" customHeight="1" thickBot="1" x14ac:dyDescent="0.25">
      <c r="A22" s="82"/>
      <c r="B22" s="91" t="s">
        <v>41</v>
      </c>
      <c r="C22" s="92">
        <v>0.05</v>
      </c>
      <c r="D22" s="93">
        <v>46478</v>
      </c>
      <c r="E22" s="93">
        <v>46508</v>
      </c>
      <c r="F22" s="86"/>
      <c r="G22" s="87"/>
      <c r="H22" s="94"/>
      <c r="I22" s="94"/>
      <c r="J22" s="94"/>
      <c r="K22" s="94"/>
      <c r="L22" s="94"/>
      <c r="M22" s="94"/>
      <c r="N22" s="94"/>
      <c r="O22" s="94"/>
      <c r="P22" s="94"/>
      <c r="Q22" s="94"/>
      <c r="R22" s="94"/>
      <c r="S22" s="94"/>
      <c r="T22" s="94"/>
      <c r="U22" s="94"/>
      <c r="V22" s="94"/>
      <c r="W22" s="94"/>
      <c r="X22" s="95"/>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row>
    <row r="23" spans="1:63" s="37" customFormat="1" ht="30" customHeight="1" thickBot="1" x14ac:dyDescent="0.25">
      <c r="A23" s="72"/>
      <c r="B23" s="44" t="s">
        <v>28</v>
      </c>
      <c r="C23" s="45"/>
      <c r="D23" s="46"/>
      <c r="E23" s="47"/>
      <c r="F23" s="13"/>
      <c r="G23" s="4" t="str">
        <f t="shared" si="5"/>
        <v/>
      </c>
    </row>
    <row r="24" spans="1:63" s="37" customFormat="1" ht="30" customHeight="1" thickBot="1" x14ac:dyDescent="0.25">
      <c r="A24" s="72"/>
      <c r="B24" s="48" t="s">
        <v>29</v>
      </c>
      <c r="C24" s="49">
        <v>0.15</v>
      </c>
      <c r="D24" s="73">
        <v>46302</v>
      </c>
      <c r="E24" s="73">
        <v>46313</v>
      </c>
      <c r="F24" s="13"/>
      <c r="G24" s="4">
        <f t="shared" si="5"/>
        <v>12</v>
      </c>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row>
    <row r="25" spans="1:63" s="37" customFormat="1" ht="30" customHeight="1" thickBot="1" x14ac:dyDescent="0.25">
      <c r="A25" s="11"/>
      <c r="B25" s="48" t="s">
        <v>48</v>
      </c>
      <c r="C25" s="49">
        <v>0.2</v>
      </c>
      <c r="D25" s="73">
        <v>46309</v>
      </c>
      <c r="E25" s="73">
        <v>46325</v>
      </c>
      <c r="F25" s="13"/>
      <c r="G25" s="4">
        <f t="shared" si="5"/>
        <v>17</v>
      </c>
      <c r="H25" s="40"/>
      <c r="I25" s="40"/>
      <c r="J25" s="40"/>
      <c r="K25" s="40"/>
      <c r="L25" s="40"/>
      <c r="M25" s="40"/>
      <c r="N25" s="40"/>
      <c r="O25" s="40"/>
      <c r="P25" s="40"/>
      <c r="Q25" s="40"/>
      <c r="R25" s="40"/>
      <c r="S25" s="40"/>
      <c r="T25" s="43"/>
      <c r="U25" s="43"/>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row>
    <row r="26" spans="1:63" s="37" customFormat="1" ht="30" customHeight="1" thickBot="1" x14ac:dyDescent="0.25">
      <c r="A26" s="11"/>
      <c r="B26" s="48" t="s">
        <v>51</v>
      </c>
      <c r="C26" s="49">
        <v>0</v>
      </c>
      <c r="D26" s="73">
        <v>46313</v>
      </c>
      <c r="E26" s="73">
        <v>46356</v>
      </c>
      <c r="F26" s="13"/>
      <c r="G26" s="4"/>
      <c r="H26" s="40"/>
      <c r="I26" s="40"/>
      <c r="J26" s="40"/>
      <c r="K26" s="40"/>
      <c r="L26" s="40"/>
      <c r="M26" s="40"/>
      <c r="N26" s="40"/>
      <c r="O26" s="40"/>
      <c r="P26" s="40"/>
      <c r="Q26" s="40"/>
      <c r="R26" s="40"/>
      <c r="S26" s="40"/>
      <c r="T26" s="43"/>
      <c r="U26" s="43"/>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row>
    <row r="27" spans="1:63" s="37" customFormat="1" ht="30" customHeight="1" thickBot="1" x14ac:dyDescent="0.25">
      <c r="A27" s="11"/>
      <c r="B27" s="48" t="s">
        <v>22</v>
      </c>
      <c r="C27" s="49">
        <v>0</v>
      </c>
      <c r="D27" s="73">
        <v>46357</v>
      </c>
      <c r="E27" s="73">
        <v>46363</v>
      </c>
      <c r="F27" s="13"/>
      <c r="G27" s="4">
        <f t="shared" si="5"/>
        <v>7</v>
      </c>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row>
    <row r="28" spans="1:63" s="37" customFormat="1" ht="30" customHeight="1" thickBot="1" x14ac:dyDescent="0.25">
      <c r="A28" s="11"/>
      <c r="B28" s="50" t="s">
        <v>24</v>
      </c>
      <c r="C28" s="51"/>
      <c r="D28" s="74"/>
      <c r="E28" s="75"/>
      <c r="F28" s="13"/>
      <c r="G28" s="4" t="str">
        <f t="shared" si="5"/>
        <v/>
      </c>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row>
    <row r="29" spans="1:63" s="37" customFormat="1" ht="30" customHeight="1" thickBot="1" x14ac:dyDescent="0.25">
      <c r="A29" s="11"/>
      <c r="B29" s="53" t="s">
        <v>23</v>
      </c>
      <c r="C29" s="54">
        <v>0</v>
      </c>
      <c r="D29" s="76">
        <v>46357</v>
      </c>
      <c r="E29" s="76">
        <v>46374</v>
      </c>
      <c r="F29" s="13"/>
      <c r="G29" s="4">
        <f t="shared" si="5"/>
        <v>18</v>
      </c>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row>
    <row r="30" spans="1:63" s="37" customFormat="1" ht="30" customHeight="1" thickBot="1" x14ac:dyDescent="0.25">
      <c r="A30" s="11"/>
      <c r="B30" s="53" t="s">
        <v>34</v>
      </c>
      <c r="C30" s="54">
        <v>0</v>
      </c>
      <c r="D30" s="76">
        <v>46419</v>
      </c>
      <c r="E30" s="76">
        <v>46439</v>
      </c>
      <c r="F30" s="13"/>
      <c r="G30" s="4">
        <f t="shared" si="5"/>
        <v>21</v>
      </c>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row>
    <row r="31" spans="1:63" s="37" customFormat="1" ht="30" customHeight="1" thickBot="1" x14ac:dyDescent="0.25">
      <c r="A31" s="11"/>
      <c r="B31" s="53" t="s">
        <v>35</v>
      </c>
      <c r="C31" s="54">
        <v>0</v>
      </c>
      <c r="D31" s="76">
        <v>46439</v>
      </c>
      <c r="E31" s="76">
        <v>46447</v>
      </c>
      <c r="F31" s="13"/>
      <c r="G31" s="4">
        <f t="shared" si="5"/>
        <v>9</v>
      </c>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row>
    <row r="32" spans="1:63" s="37" customFormat="1" ht="30" customHeight="1" thickBot="1" x14ac:dyDescent="0.25">
      <c r="A32" s="11"/>
      <c r="B32" s="53" t="s">
        <v>44</v>
      </c>
      <c r="C32" s="54">
        <v>0</v>
      </c>
      <c r="D32" s="76">
        <v>46447</v>
      </c>
      <c r="E32" s="76">
        <v>46453</v>
      </c>
      <c r="F32" s="13"/>
      <c r="G32" s="4">
        <f t="shared" si="5"/>
        <v>7</v>
      </c>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row>
    <row r="33" spans="1:63" s="37" customFormat="1" ht="30" customHeight="1" thickBot="1" x14ac:dyDescent="0.25">
      <c r="A33" s="11"/>
      <c r="B33" s="53" t="s">
        <v>45</v>
      </c>
      <c r="C33" s="54">
        <v>0</v>
      </c>
      <c r="D33" s="76">
        <v>46453</v>
      </c>
      <c r="E33" s="76">
        <v>46460</v>
      </c>
      <c r="F33" s="13"/>
      <c r="G33" s="4">
        <f t="shared" si="5"/>
        <v>8</v>
      </c>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row>
    <row r="34" spans="1:63" s="37" customFormat="1" ht="30" customHeight="1" thickBot="1" x14ac:dyDescent="0.25">
      <c r="A34" s="11"/>
      <c r="B34" s="55" t="s">
        <v>25</v>
      </c>
      <c r="C34" s="56"/>
      <c r="D34" s="77"/>
      <c r="E34" s="78"/>
      <c r="F34" s="13"/>
      <c r="G34" s="4" t="str">
        <f t="shared" si="5"/>
        <v/>
      </c>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row>
    <row r="35" spans="1:63" s="37" customFormat="1" ht="30" customHeight="1" thickBot="1" x14ac:dyDescent="0.25">
      <c r="A35" s="11"/>
      <c r="B35" s="58" t="s">
        <v>29</v>
      </c>
      <c r="C35" s="59">
        <v>0</v>
      </c>
      <c r="D35" s="79">
        <v>46340</v>
      </c>
      <c r="E35" s="79">
        <v>46374</v>
      </c>
      <c r="F35" s="13"/>
      <c r="G35" s="4">
        <f t="shared" si="5"/>
        <v>35</v>
      </c>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row>
    <row r="36" spans="1:63" s="37" customFormat="1" ht="30" customHeight="1" thickBot="1" x14ac:dyDescent="0.25">
      <c r="A36" s="11"/>
      <c r="B36" s="58" t="s">
        <v>46</v>
      </c>
      <c r="C36" s="59">
        <v>0</v>
      </c>
      <c r="D36" s="79">
        <v>46439</v>
      </c>
      <c r="E36" s="79">
        <v>46447</v>
      </c>
      <c r="F36" s="13"/>
      <c r="G36" s="4">
        <f t="shared" si="5"/>
        <v>9</v>
      </c>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row>
    <row r="37" spans="1:63" s="37" customFormat="1" ht="30" customHeight="1" thickBot="1" x14ac:dyDescent="0.25">
      <c r="A37" s="11"/>
      <c r="B37" s="58" t="s">
        <v>47</v>
      </c>
      <c r="C37" s="59">
        <v>0</v>
      </c>
      <c r="D37" s="79">
        <f>E36+1</f>
        <v>46448</v>
      </c>
      <c r="E37" s="79">
        <f>D37+3</f>
        <v>46451</v>
      </c>
      <c r="F37" s="13"/>
      <c r="G37" s="4">
        <f t="shared" si="5"/>
        <v>4</v>
      </c>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row>
    <row r="38" spans="1:63" s="37" customFormat="1" ht="30" customHeight="1" thickBot="1" x14ac:dyDescent="0.25">
      <c r="A38" s="11"/>
      <c r="B38" s="58" t="s">
        <v>45</v>
      </c>
      <c r="C38" s="59">
        <v>0</v>
      </c>
      <c r="D38" s="79">
        <v>46478</v>
      </c>
      <c r="E38" s="79">
        <v>46508</v>
      </c>
      <c r="F38" s="13"/>
      <c r="G38" s="4">
        <f t="shared" si="5"/>
        <v>31</v>
      </c>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row>
    <row r="39" spans="1:63" s="37" customFormat="1" ht="30" customHeight="1" thickBot="1" x14ac:dyDescent="0.25">
      <c r="A39" s="11"/>
      <c r="B39" s="60"/>
      <c r="C39" s="61"/>
      <c r="D39" s="62"/>
      <c r="E39" s="62"/>
      <c r="F39" s="13"/>
      <c r="G39" s="4" t="str">
        <f t="shared" si="5"/>
        <v/>
      </c>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row>
    <row r="40" spans="1:63" ht="30" customHeight="1" x14ac:dyDescent="0.2">
      <c r="F40" s="3"/>
    </row>
    <row r="41" spans="1:63" ht="30" customHeight="1" x14ac:dyDescent="0.2">
      <c r="E41" s="12"/>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C7:C3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38">
    <cfRule type="expression" dxfId="8" priority="1">
      <formula>AND(TODAY()&gt;=H$5, TODAY()&lt;I$5)</formula>
    </cfRule>
  </conditionalFormatting>
  <conditionalFormatting sqref="H9:BK22">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24:BK27">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9:BK33">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35:BK38">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3" xr:uid="{4F48FC41-E335-47F1-87AA-3333A52AD81C}"/>
    <dataValidation allowBlank="1" showInputMessage="1" showErrorMessage="1" prompt="Phase 3's sample block starts in cell B20." sqref="A28" xr:uid="{956902D1-D3B5-416D-BB69-9362D193BC0A}"/>
    <dataValidation allowBlank="1" showInputMessage="1" showErrorMessage="1" prompt="Phase 4's sample block starts in cell B26." sqref="A34" xr:uid="{DE54E5DE-526D-4D71-8D03-E99B4AB2FEE5}"/>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11:A14" xr:uid="{872449A7-C3CC-45B6-BA90-B1AAD66BA0E5}"/>
  </dataValidations>
  <hyperlinks>
    <hyperlink ref="B3" r:id="rId1" xr:uid="{00000000-0004-0000-0000-000001000000}"/>
  </hyperlinks>
  <printOptions horizontalCentered="1"/>
  <pageMargins left="0.35" right="0.35" top="0.35" bottom="0.5" header="0.3" footer="0.3"/>
  <pageSetup scale="57" fitToHeight="0" orientation="landscape" r:id="rId2"/>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0" sqref="A10"/>
    </sheetView>
  </sheetViews>
  <sheetFormatPr defaultColWidth="9" defaultRowHeight="12.75" x14ac:dyDescent="0.2"/>
  <cols>
    <col min="1" max="1" width="87" style="5" customWidth="1"/>
    <col min="2" max="16384" width="9" style="1"/>
  </cols>
  <sheetData>
    <row r="1" spans="1:2" ht="46.5" customHeight="1" x14ac:dyDescent="0.2"/>
    <row r="2" spans="1:2" s="7" customFormat="1" ht="15.75" x14ac:dyDescent="0.2">
      <c r="A2" s="65" t="s">
        <v>2</v>
      </c>
      <c r="B2" s="6"/>
    </row>
    <row r="3" spans="1:2" s="9" customFormat="1" ht="27" customHeight="1" x14ac:dyDescent="0.2">
      <c r="A3" s="66"/>
      <c r="B3" s="10"/>
    </row>
    <row r="4" spans="1:2" s="8" customFormat="1" ht="31.5" x14ac:dyDescent="0.6">
      <c r="A4" s="67" t="s">
        <v>8</v>
      </c>
    </row>
    <row r="5" spans="1:2" ht="74.25" customHeight="1" x14ac:dyDescent="0.2">
      <c r="A5" s="68" t="s">
        <v>9</v>
      </c>
    </row>
    <row r="6" spans="1:2" ht="26.25" customHeight="1" x14ac:dyDescent="0.2">
      <c r="A6" s="67" t="s">
        <v>10</v>
      </c>
    </row>
    <row r="7" spans="1:2" s="5" customFormat="1" ht="205.15" customHeight="1" x14ac:dyDescent="0.2">
      <c r="A7" s="69" t="s">
        <v>11</v>
      </c>
    </row>
    <row r="8" spans="1:2" s="8" customFormat="1" ht="31.5" x14ac:dyDescent="0.6">
      <c r="A8" s="67" t="s">
        <v>12</v>
      </c>
    </row>
    <row r="9" spans="1:2" ht="57" x14ac:dyDescent="0.2">
      <c r="A9" s="68" t="s">
        <v>13</v>
      </c>
    </row>
    <row r="10" spans="1:2" s="5" customFormat="1" ht="28.15" customHeight="1" x14ac:dyDescent="0.2">
      <c r="A10" s="70" t="s">
        <v>14</v>
      </c>
    </row>
    <row r="11" spans="1:2" s="8" customFormat="1" ht="31.5" x14ac:dyDescent="0.6">
      <c r="A11" s="67" t="s">
        <v>15</v>
      </c>
    </row>
    <row r="12" spans="1:2" ht="28.5" x14ac:dyDescent="0.2">
      <c r="A12" s="68" t="s">
        <v>16</v>
      </c>
    </row>
    <row r="13" spans="1:2" s="5" customFormat="1" ht="28.15" customHeight="1" x14ac:dyDescent="0.2">
      <c r="A13" s="70" t="s">
        <v>17</v>
      </c>
    </row>
    <row r="14" spans="1:2" s="8" customFormat="1" ht="31.5" x14ac:dyDescent="0.6">
      <c r="A14" s="67" t="s">
        <v>18</v>
      </c>
    </row>
    <row r="15" spans="1:2" ht="75" customHeight="1" x14ac:dyDescent="0.2">
      <c r="A15" s="68" t="s">
        <v>19</v>
      </c>
    </row>
    <row r="16" spans="1:2" ht="71.25" x14ac:dyDescent="0.2">
      <c r="A16" s="68" t="s">
        <v>20</v>
      </c>
    </row>
    <row r="17" spans="1:1" x14ac:dyDescent="0.2">
      <c r="A17" s="71"/>
    </row>
    <row r="18" spans="1:1" x14ac:dyDescent="0.2">
      <c r="A18" s="71"/>
    </row>
    <row r="19" spans="1:1" x14ac:dyDescent="0.2">
      <c r="A19" s="71"/>
    </row>
    <row r="20" spans="1:1" x14ac:dyDescent="0.2">
      <c r="A20" s="71"/>
    </row>
    <row r="21" spans="1:1" x14ac:dyDescent="0.2">
      <c r="A21" s="71"/>
    </row>
    <row r="22" spans="1:1" x14ac:dyDescent="0.2">
      <c r="A22" s="71"/>
    </row>
    <row r="23" spans="1:1" x14ac:dyDescent="0.2">
      <c r="A23" s="71"/>
    </row>
    <row r="24" spans="1:1" x14ac:dyDescent="0.2">
      <c r="A24" s="7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Brent Jacobs</cp:lastModifiedBy>
  <cp:revision/>
  <dcterms:created xsi:type="dcterms:W3CDTF">2026-10-04T10:20:14Z</dcterms:created>
  <dcterms:modified xsi:type="dcterms:W3CDTF">2026-10-12T07:40:54Z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